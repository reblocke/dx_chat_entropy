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I:\Chief Resident Files\Prior Chiefs\C Rohlfsen's Files\ChatBot\Transcript Grading Rubrics\"/>
    </mc:Choice>
  </mc:AlternateContent>
  <xr:revisionPtr revIDLastSave="0" documentId="13_ncr:1_{04BE063C-DB67-4293-8009-4E86BB196398}" xr6:coauthVersionLast="47" xr6:coauthVersionMax="47" xr10:uidLastSave="{00000000-0000-0000-0000-000000000000}"/>
  <bookViews>
    <workbookView xWindow="14580" yWindow="285" windowWidth="14055" windowHeight="15630" xr2:uid="{A4DD8415-D3E8-4BFE-987B-FE4BECB7E744}"/>
  </bookViews>
  <sheets>
    <sheet name="Summary of Scores" sheetId="1" r:id="rId1"/>
    <sheet name="Cardiac" sheetId="2" r:id="rId2"/>
    <sheet name="GERD" sheetId="3" r:id="rId3"/>
    <sheet name="Esophageal Dysphagia" sheetId="4" r:id="rId4"/>
    <sheet name="RA" sheetId="5" r:id="rId5"/>
    <sheet name="CREST" sheetId="6" r:id="rId6"/>
    <sheet name="PR score"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1" l="1"/>
  <c r="B7" i="1"/>
  <c r="B13" i="1"/>
  <c r="B18" i="1"/>
  <c r="B20" i="1"/>
  <c r="D7" i="1"/>
  <c r="B8" i="1" a="1"/>
  <c r="B8" i="1" s="1"/>
  <c r="C8" i="1" a="1"/>
  <c r="C8" i="1" s="1"/>
  <c r="D8" i="1" a="1"/>
  <c r="D8" i="1" s="1"/>
  <c r="F8" i="1" a="1"/>
  <c r="F8" i="1" s="1"/>
  <c r="F7" i="1"/>
  <c r="B11" i="1"/>
  <c r="F10" i="1"/>
  <c r="E10" i="1"/>
  <c r="D10" i="1"/>
  <c r="B10" i="1"/>
  <c r="C10" i="1"/>
  <c r="E20" i="4"/>
  <c r="A18" i="7"/>
  <c r="D36" i="2"/>
  <c r="F36" i="2" s="1"/>
  <c r="D35" i="2"/>
  <c r="E35" i="2" s="1"/>
  <c r="D34" i="2"/>
  <c r="F34" i="2" s="1"/>
  <c r="D33" i="2"/>
  <c r="E33" i="2" s="1"/>
  <c r="D23" i="3"/>
  <c r="D23" i="4"/>
  <c r="F23" i="4" s="1"/>
  <c r="D22" i="4"/>
  <c r="E22" i="4" s="1"/>
  <c r="D21" i="4"/>
  <c r="F21" i="4" s="1"/>
  <c r="D21" i="5"/>
  <c r="F21" i="5" s="1"/>
  <c r="D20" i="5"/>
  <c r="E20" i="5" s="1"/>
  <c r="D19" i="5"/>
  <c r="F19" i="5" s="1"/>
  <c r="D18" i="5"/>
  <c r="E18" i="5" s="1"/>
  <c r="D24" i="6"/>
  <c r="E24" i="6" s="1"/>
  <c r="D23" i="6"/>
  <c r="E23" i="6" s="1"/>
  <c r="D22" i="6"/>
  <c r="E22" i="6" s="1"/>
  <c r="D21" i="6"/>
  <c r="E21" i="6" s="1"/>
  <c r="D18" i="7"/>
  <c r="F22" i="4" l="1"/>
  <c r="F20" i="4"/>
  <c r="C29" i="4" s="1"/>
  <c r="F33" i="2"/>
  <c r="F35" i="2"/>
  <c r="E34" i="2"/>
  <c r="E36" i="2"/>
  <c r="E23" i="3"/>
  <c r="F23" i="3"/>
  <c r="D22" i="3"/>
  <c r="D24" i="3"/>
  <c r="D21" i="3"/>
  <c r="E21" i="4"/>
  <c r="E23" i="4"/>
  <c r="F20" i="5"/>
  <c r="F18" i="5"/>
  <c r="E19" i="5"/>
  <c r="E21" i="5"/>
  <c r="E26" i="6"/>
  <c r="F22" i="6"/>
  <c r="F24" i="6"/>
  <c r="F21" i="6"/>
  <c r="F23" i="6"/>
  <c r="C30" i="6" l="1"/>
  <c r="C27" i="5"/>
  <c r="E8" i="1" s="1" a="1"/>
  <c r="E8" i="1" s="1"/>
  <c r="E23" i="5"/>
  <c r="E7" i="1" s="1"/>
  <c r="E25" i="4"/>
  <c r="E38" i="2"/>
  <c r="C42" i="2"/>
  <c r="E21" i="3"/>
  <c r="F21" i="3"/>
  <c r="F24" i="3"/>
  <c r="E24" i="3"/>
  <c r="F22" i="3"/>
  <c r="E22" i="3"/>
  <c r="C30" i="3" l="1"/>
  <c r="E26"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<sst xmlns="http://schemas.openxmlformats.org/spreadsheetml/2006/main" count="439" uniqueCount="163">
  <si>
    <t>Premature closure on distal symptoms (e.g. chest pain) can be prevented by exploring the context with open-ended Qs. The patient can typically tell you exactly what's going on… if only asked in an inviting, non-leading, and open-ended manner. "In this case, you did (or did not) establish what the patient was doing when their _______ first appeared"</t>
  </si>
  <si>
    <t>Probing is an active listening technique that helps excavate pertinent ROS. "In this case, you did (or did not) probe about…"</t>
  </si>
  <si>
    <t>Modifiers of hyperacute, acute, sudden-onset, subacute, acute on chronic, progressive, insidious are helpful in establishing the trajectory or pattern of an illness to narrow the ddx. Specific periods of divergence in how symptoms change or escalate help target inflection points in the timeline of illness. "When were you last normal?" counts in this section</t>
  </si>
  <si>
    <t>Localizing the problem is important in moving from proximal to distal (e.g. right lateral, non-radiating knee pain is better than right leg pain). Semantic qualifiers like unilateral vs bilateral, proximal vs distal, radiating vs non-radiating count in this section.</t>
  </si>
  <si>
    <t>Exacerbating / alleviating factors?</t>
  </si>
  <si>
    <t xml:space="preserve">If a symptom or complaint has a common trigger or unifying exposure or time of day. (e.g. post-prandial pain, pleuritic pain, positional pain, nocturnal vs early AM vs worse after use) </t>
  </si>
  <si>
    <t xml:space="preserve">It is difficult to assess the proportionality of a problem without assessing its severity. Hypotheticodeductive reasoning allows you to test hypotheses using the law of proportionality. Would ______ cause something to be this severe? </t>
  </si>
  <si>
    <t>Summarizing is an active listening skill that allows the patient to audit what has been said, add to any missing pieces, or correct any miscommunications. It's also an opportunity for the patient to place emphasis in an area that is particularly important which can help signal where to probe for additional information.</t>
  </si>
  <si>
    <t>Defining the syndrome: Asking what brought them in today (CC)</t>
  </si>
  <si>
    <t>Inciting event? ("what were you doing when you first noticed the chest pain?")</t>
  </si>
  <si>
    <t>Defining the syndrome    (max 3)</t>
  </si>
  <si>
    <t>Asking about associated symptoms ("what other symptoms have occurred over the past few…?")</t>
  </si>
  <si>
    <t>Establishing &amp; exploring the context        (max 2)</t>
  </si>
  <si>
    <t>PR priorities</t>
  </si>
  <si>
    <t>Functional severity? ("6/10" or can include what have you been unable to do now that you used to be able to do?)</t>
  </si>
  <si>
    <t>Severity</t>
  </si>
  <si>
    <t>Precipitating / Palliating</t>
  </si>
  <si>
    <t xml:space="preserve">Summarization </t>
  </si>
  <si>
    <t>Host epidemiology that increases or decreases baseline risk</t>
  </si>
  <si>
    <t>Timing and tempo           (max 3)</t>
  </si>
  <si>
    <t>Exploring the context ("tell me more about where you were at…" or "when you say it's happening at night, what specifically is happening when that occurs?")</t>
  </si>
  <si>
    <t>FHx, SHx (tobacco, EtOH, sexual hx, recent travel to endemic region)</t>
  </si>
  <si>
    <t>ex) "uncontrolled DM2" or "untreated HIV"</t>
  </si>
  <si>
    <t>ex) recent unprotected sexual encounters</t>
  </si>
  <si>
    <t>Problem representation score                    (defining the problem):</t>
  </si>
  <si>
    <t>Prioritization, organization, and synthesis of data</t>
  </si>
  <si>
    <t>ex) progressive esophageal dysphagia with raynauds, weight loss, and positional chest pain that resolves with regurgitation of food, concerning for food impaction</t>
  </si>
  <si>
    <t>Defining chronicity of CC or associated symptoms as recurrent, exacerbated from baseline, or a new problem ("Does this abd pain happens every month or is it new?" or ")</t>
  </si>
  <si>
    <t>Tempo: progression of symptoms over what time period: insidious, subacute, acute, hyperacute? "over what time period did the chest pain get worse?"</t>
  </si>
  <si>
    <t>Summarizing problem rep for patient to correct or fill gaps ("so you're saying the GERD has been going on for 10 years and it used to be controlled by ant-acids but now it's not and the character of pain is different?")</t>
  </si>
  <si>
    <t>Location, character, or radiating features</t>
  </si>
  <si>
    <t>Key Features by Dimension</t>
  </si>
  <si>
    <t>Major Feature</t>
  </si>
  <si>
    <t>Unknown LR = Regression to the Mean</t>
  </si>
  <si>
    <t>Minor Feature</t>
  </si>
  <si>
    <t>Y/N</t>
  </si>
  <si>
    <t>Esophageal Dysphagia</t>
  </si>
  <si>
    <t>Direction</t>
  </si>
  <si>
    <t>Major or Minor</t>
  </si>
  <si>
    <t>LR</t>
  </si>
  <si>
    <t>Alternative cause becomes obvious: esoph dysphagia (food gets stuck or relieved by regurgitation of food)</t>
  </si>
  <si>
    <t>1+</t>
  </si>
  <si>
    <t>MAJOR</t>
  </si>
  <si>
    <t>Raynauds phenomenon</t>
  </si>
  <si>
    <t>Rash (telangiectasias)</t>
  </si>
  <si>
    <t>Hand pain out of proportion to other joints (must be specific)</t>
  </si>
  <si>
    <t>minor</t>
  </si>
  <si>
    <t>Current heartburn or reflux</t>
  </si>
  <si>
    <t>Long-standing heartburn and reflux (duration of years)</t>
  </si>
  <si>
    <t>Difficulty swallowing liquids</t>
  </si>
  <si>
    <t>Weight loss</t>
  </si>
  <si>
    <t>FHx of RA</t>
  </si>
  <si>
    <t>no associated shortness of breath</t>
  </si>
  <si>
    <t>1-</t>
  </si>
  <si>
    <t>Manual</t>
  </si>
  <si>
    <t>Coded</t>
  </si>
  <si>
    <t>Quintile Points</t>
  </si>
  <si>
    <t>Total # of Major Features (1+)</t>
  </si>
  <si>
    <t>Total # of Major Features (1-)</t>
  </si>
  <si>
    <t>Total # of Minor Features (1+)</t>
  </si>
  <si>
    <t>Total # of Minor Features (1-)</t>
  </si>
  <si>
    <t>Weighted Key Features</t>
  </si>
  <si>
    <t>Starting Quintile</t>
  </si>
  <si>
    <t>0-20</t>
  </si>
  <si>
    <t>Ending Quintile Ideal</t>
  </si>
  <si>
    <t>80-100</t>
  </si>
  <si>
    <t>Ending Quintile Real</t>
  </si>
  <si>
    <t>Pre-test odds</t>
  </si>
  <si>
    <t>Post-test odds</t>
  </si>
  <si>
    <t>RA</t>
  </si>
  <si>
    <t>Pattern of hand pain: multiple symmetric joints hurt</t>
  </si>
  <si>
    <r>
      <t xml:space="preserve">Hand predominance disproportionate to other joint pain (must clarify </t>
    </r>
    <r>
      <rPr>
        <i/>
        <sz val="11"/>
        <color rgb="FF000000"/>
        <rFont val="Aptos Narrow"/>
        <family val="2"/>
        <scheme val="minor"/>
      </rPr>
      <t>relative</t>
    </r>
    <r>
      <rPr>
        <sz val="11"/>
        <color rgb="FF000000"/>
        <rFont val="Aptos Narrow"/>
        <family val="2"/>
        <scheme val="minor"/>
      </rPr>
      <t xml:space="preserve"> to other joints)</t>
    </r>
  </si>
  <si>
    <t>No morning stiffness</t>
  </si>
  <si>
    <t>No enlargement of knuckles, finger deformities, or deviation of fingers</t>
  </si>
  <si>
    <t>No rheumatoid nodules</t>
  </si>
  <si>
    <t>Starting Quintile)</t>
  </si>
  <si>
    <t>20-40</t>
  </si>
  <si>
    <t>Note: Raynauds phenomenon in a patient with polyarthralgias is just as common in OA as it is in RA (only has discriminatory value for mixed connective tissue diseases and scleroderma) - Carroll et al., Annals of Rheumatic Diseases 1981</t>
  </si>
  <si>
    <t>Food gets stuck</t>
  </si>
  <si>
    <t>Regurgitation provides relief</t>
  </si>
  <si>
    <t>Pain location behind sternum</t>
  </si>
  <si>
    <t>Positional chest pain (worse when laying down)</t>
  </si>
  <si>
    <t>How would you describe the pain? (tightness… not burning)</t>
  </si>
  <si>
    <t>No FHx of cancer</t>
  </si>
  <si>
    <t>Does not use alcohol</t>
  </si>
  <si>
    <t>40-60</t>
  </si>
  <si>
    <t>GERD</t>
  </si>
  <si>
    <t>Heartburn (Postprandial burning or pain)</t>
  </si>
  <si>
    <t>Reflux / regurgitation</t>
  </si>
  <si>
    <t>Do antacids help with your chest pain?</t>
  </si>
  <si>
    <t>No hoarse voice</t>
  </si>
  <si>
    <t>No dry cough</t>
  </si>
  <si>
    <t>No globus</t>
  </si>
  <si>
    <t>No epigastric pain (dyspepsia)</t>
  </si>
  <si>
    <t>Starting Quintile:</t>
  </si>
  <si>
    <t>Cardiac</t>
  </si>
  <si>
    <t>N</t>
  </si>
  <si>
    <r>
      <t xml:space="preserve">Pain not worse with exertion (requires they clarify exercise </t>
    </r>
    <r>
      <rPr>
        <b/>
        <sz val="11"/>
        <color rgb="FF000000"/>
        <rFont val="Aptos Narrow"/>
        <family val="2"/>
        <scheme val="minor"/>
      </rPr>
      <t>1hr</t>
    </r>
    <r>
      <rPr>
        <sz val="11"/>
        <color rgb="FF000000"/>
        <rFont val="Aptos Narrow"/>
        <family val="2"/>
        <scheme val="minor"/>
      </rPr>
      <t xml:space="preserve"> </t>
    </r>
    <r>
      <rPr>
        <b/>
        <sz val="11"/>
        <color rgb="FF000000"/>
        <rFont val="Aptos Narrow"/>
        <family val="2"/>
        <scheme val="minor"/>
      </rPr>
      <t xml:space="preserve">after </t>
    </r>
    <r>
      <rPr>
        <sz val="11"/>
        <color rgb="FF000000"/>
        <rFont val="Aptos Narrow"/>
        <family val="2"/>
        <scheme val="minor"/>
      </rPr>
      <t>meal)</t>
    </r>
  </si>
  <si>
    <r>
      <rPr>
        <i/>
        <sz val="11"/>
        <color rgb="FF000000"/>
        <rFont val="Aptos Narrow"/>
        <family val="2"/>
        <scheme val="minor"/>
      </rPr>
      <t>hint</t>
    </r>
    <r>
      <rPr>
        <sz val="11"/>
        <color rgb="FF000000"/>
        <rFont val="Aptos Narrow"/>
        <family val="2"/>
        <scheme val="minor"/>
      </rPr>
      <t>: can capture this key feature or A26 feature but *NOT* both</t>
    </r>
  </si>
  <si>
    <t>Y</t>
  </si>
  <si>
    <t>"Do you have any PMHx?" (counts as 2 independent minor features)</t>
  </si>
  <si>
    <t>no tobacco</t>
  </si>
  <si>
    <t xml:space="preserve">no radiation to the neck, arm, or jaw? </t>
  </si>
  <si>
    <t>positional chest pain (worse when laying down)</t>
  </si>
  <si>
    <t>What were you doing when the chest pain started? (eating)</t>
  </si>
  <si>
    <r>
      <rPr>
        <i/>
        <sz val="11"/>
        <color rgb="FF000000"/>
        <rFont val="Aptos Narrow"/>
        <family val="2"/>
        <scheme val="minor"/>
      </rPr>
      <t>hint:</t>
    </r>
    <r>
      <rPr>
        <sz val="11"/>
        <color rgb="FF000000"/>
        <rFont val="Aptos Narrow"/>
        <family val="2"/>
        <scheme val="minor"/>
      </rPr>
      <t xml:space="preserve"> should correspond to esoph dysphagia post-test odds jumping up 1 quintiles</t>
    </r>
  </si>
  <si>
    <t>Alternative cause of esoph dysphagia becomes obvious(food gets stuck or relieved by regurgitation of food)</t>
  </si>
  <si>
    <t>no prior CAD</t>
  </si>
  <si>
    <t>no PAD</t>
  </si>
  <si>
    <t>no HLD</t>
  </si>
  <si>
    <t>no prior MI</t>
  </si>
  <si>
    <t>no DM2</t>
  </si>
  <si>
    <t>no obesity</t>
  </si>
  <si>
    <t>no history of stroke</t>
  </si>
  <si>
    <t>no diaphoresis</t>
  </si>
  <si>
    <r>
      <t xml:space="preserve">Pain worse with exertion (without clarifying that it only occurs soley </t>
    </r>
    <r>
      <rPr>
        <b/>
        <sz val="11"/>
        <color rgb="FF000000"/>
        <rFont val="Aptos Narrow"/>
        <family val="2"/>
        <scheme val="minor"/>
      </rPr>
      <t>within an hour</t>
    </r>
    <r>
      <rPr>
        <sz val="11"/>
        <color rgb="FF000000"/>
        <rFont val="Aptos Narrow"/>
        <family val="2"/>
        <scheme val="minor"/>
      </rPr>
      <t xml:space="preserve"> of eating)</t>
    </r>
  </si>
  <si>
    <t>Decreased exercise x 3 months without clarifying post-prandial food fear</t>
  </si>
  <si>
    <t>How would you describe the pain? (tightness)</t>
  </si>
  <si>
    <t>Pain location behind the sternum</t>
  </si>
  <si>
    <t>FHx of heart disease (father)</t>
  </si>
  <si>
    <t>HTN</t>
  </si>
  <si>
    <t>Diagnostic framework nodes</t>
  </si>
  <si>
    <t>Esoph Dysphagia</t>
  </si>
  <si>
    <t>CREST</t>
  </si>
  <si>
    <t>Dials (organized by color)</t>
  </si>
  <si>
    <t>ending quintile real</t>
  </si>
  <si>
    <t>ending quintile ideal</t>
  </si>
  <si>
    <t>% key features captured within each node</t>
  </si>
  <si>
    <t>% key features captured across all nodes</t>
  </si>
  <si>
    <t>*entropy reduction per question</t>
  </si>
  <si>
    <t>*time to peak slope of entropy reduction</t>
  </si>
  <si>
    <t>PR score total</t>
  </si>
  <si>
    <t>Total points possible</t>
  </si>
  <si>
    <t>Total points earned towards PR score</t>
  </si>
  <si>
    <t>Duration of symptoms? (to define timeline of initial context)… "how long has the CC been going on?" or "when were you last well?" or "when did your first notice trouble swallowing?"</t>
  </si>
  <si>
    <t>Past events predict future events. If something has occurred before, it's likely to occur again. This increases suspicion for exacerbating features.</t>
  </si>
  <si>
    <t># of questions asked</t>
  </si>
  <si>
    <t>Top 3 Ddx</t>
  </si>
  <si>
    <t>Scleroderma</t>
  </si>
  <si>
    <t>EoE</t>
  </si>
  <si>
    <t>Top 3 Orders</t>
  </si>
  <si>
    <t>ANA</t>
  </si>
  <si>
    <t>Anti-centromere</t>
  </si>
  <si>
    <t>EGD</t>
  </si>
  <si>
    <t>Case Duration</t>
  </si>
  <si>
    <t>11 min, 19 sec</t>
  </si>
  <si>
    <t>Qualitative feedback: key points in defining the problem (move from a proximal, surface, non-specific level of understanding to distal, deep, discriminating features targeted to timeline of interest)</t>
  </si>
  <si>
    <t>Refining the CC ("what do you mean when you say… dizzy?" or "tell me more about the chest pain…")</t>
  </si>
  <si>
    <t>CC provides focus (the "pivot") for the interview. Without a single well defined problem to start the interview, subsequent questions risk being aimless or irrelevant to the encounter. The hypothetical deductive approach to interviewing hinges on targeted questions, all stemming from a clearly defined CC.</t>
  </si>
  <si>
    <t>Proximal or vague symptoms in isolation (fatigue, dizziness, fog, weakness) are poorly defined and don't allow for more targeted questions</t>
  </si>
  <si>
    <t>Defining the syndrome (clusters of associated features) helps consider unifying causes to disease or explore other pivots that may have a more fruitful or narrower ddx</t>
  </si>
  <si>
    <t>Characterization / Localization</t>
  </si>
  <si>
    <t>Synthesizing the problem into a concise summary sentence of key features (assessed as whether key word is included in top 3 ddx, in this case "esophageal" or "dysphagia" but not GERD.</t>
  </si>
  <si>
    <r>
      <t xml:space="preserve">Iatrogenic risks: inquiry about </t>
    </r>
    <r>
      <rPr>
        <i/>
        <sz val="11"/>
        <color rgb="FF000000"/>
        <rFont val="Aptos Narrow"/>
        <family val="2"/>
        <scheme val="minor"/>
      </rPr>
      <t>new</t>
    </r>
    <r>
      <rPr>
        <sz val="11"/>
        <color rgb="FF000000"/>
        <rFont val="Aptos Narrow"/>
        <family val="2"/>
        <scheme val="minor"/>
      </rPr>
      <t xml:space="preserve"> meds, medication changes, recent hospital stay, PSHx (counts even if procedures / surgeries are not recent), recent immobility, or recent doctor visits</t>
    </r>
  </si>
  <si>
    <t>PMHx: immunodeficiency (normal host or not), polypharmacy, high risk meds, frailty, race, BMI; Age / sex does not count as its given in the stem</t>
  </si>
  <si>
    <t>ex) history of fundoplication or EGD ("endoflip" procedure)</t>
  </si>
  <si>
    <t>Possible Points</t>
  </si>
  <si>
    <t>*net change in relative entropy</t>
  </si>
  <si>
    <t>*net change in bayesian estimator</t>
  </si>
  <si>
    <t>*change in relative entropy within node</t>
  </si>
  <si>
    <t># of major key features captured in interview</t>
  </si>
  <si>
    <t>% major key features captured per question asked</t>
  </si>
  <si>
    <t>Lack of joint swelling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</si>
</sst>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b/>
      <sz val="11"/>
      <color theme="1"/>
      <name val="Aptos Narrow"/>
      <family val="2"/>
      <scheme val="minor"/>
    </font>
    <font>
      <b/>
      <sz val="11"/>
      <color rgb="FF000000"/>
      <name val="Aptos Narrow"/>
      <family val="2"/>
      <scheme val="minor"/>
    </font>
    <font>
      <sz val="11"/>
      <color rgb="FF000000"/>
      <name val="Aptos Narrow"/>
      <family val="2"/>
      <scheme val="minor"/>
    </font>
    <font>
      <sz val="12"/>
      <color rgb="FF000000"/>
      <name val="Aptos Narrow"/>
      <family val="2"/>
      <scheme val="minor"/>
    </font>
    <font>
      <sz val="14"/>
      <color rgb="FF000000"/>
      <name val="Aptos Narrow"/>
      <family val="2"/>
      <scheme val="minor"/>
    </font>
    <font>
      <sz val="16"/>
      <color rgb="FF000000"/>
      <name val="Aptos Narrow"/>
      <family val="2"/>
      <scheme val="minor"/>
    </font>
    <font>
      <sz val="16"/>
      <color theme="1"/>
      <name val="Aptos Narrow"/>
      <family val="2"/>
      <scheme val="minor"/>
    </font>
    <font>
      <b/>
      <sz val="12"/>
      <color rgb="FF000000"/>
      <name val="Aptos Narrow"/>
      <family val="2"/>
      <scheme val="minor"/>
    </font>
    <font>
      <b/>
      <sz val="16"/>
      <color rgb="FF000000"/>
      <name val="Aptos Narrow"/>
      <family val="2"/>
      <scheme val="minor"/>
    </font>
    <font>
      <b/>
      <sz val="12"/>
      <color theme="1"/>
      <name val="Aptos Narrow"/>
      <family val="2"/>
      <scheme val="minor"/>
    </font>
    <font>
      <i/>
      <sz val="11"/>
      <color rgb="FF000000"/>
      <name val="Aptos Narrow"/>
      <family val="2"/>
      <scheme val="minor"/>
    </font>
    <font>
      <b/>
      <sz val="11"/>
      <color rgb="FF7030A0"/>
      <name val="Aptos Narrow"/>
      <family val="2"/>
      <scheme val="minor"/>
    </font>
    <font>
      <b/>
      <sz val="16"/>
      <color theme="1"/>
      <name val="Aptos Narrow"/>
      <family val="2"/>
      <scheme val="minor"/>
    </font>
    <font>
      <i/>
      <sz val="16"/>
      <color rgb="FF000000"/>
      <name val="Aptos Narrow"/>
      <family val="2"/>
      <scheme val="minor"/>
    </font>
    <font>
      <i/>
      <sz val="18"/>
      <color rgb="FF000000"/>
      <name val="Aptos Narrow"/>
      <family val="2"/>
      <scheme val="minor"/>
    </font>
  </fonts>
  <fills count="22">
    <fill>
      <patternFill patternType="none"/>
    </fill>
    <fill>
      <patternFill patternType="gray125"/>
    </fill>
    <fill>
      <patternFill patternType="solid">
        <fgColor rgb="FFFFE5E5"/>
        <bgColor rgb="FF000000"/>
      </patternFill>
    </fill>
    <fill>
      <patternFill patternType="solid">
        <fgColor rgb="FFF2F2F2"/>
        <bgColor rgb="FF000000"/>
      </patternFill>
    </fill>
    <fill>
      <patternFill patternType="solid">
        <fgColor rgb="FFFFFF00"/>
        <bgColor rgb="FF000000"/>
      </patternFill>
    </fill>
    <fill>
      <patternFill patternType="solid">
        <fgColor rgb="FFFFCCCC"/>
        <bgColor rgb="FF000000"/>
      </patternFill>
    </fill>
    <fill>
      <patternFill patternType="solid">
        <fgColor rgb="FFFFFFCC"/>
        <bgColor rgb="FF000000"/>
      </patternFill>
    </fill>
    <fill>
      <patternFill patternType="solid">
        <fgColor rgb="FFD9D9D9"/>
        <bgColor rgb="FF000000"/>
      </patternFill>
    </fill>
    <fill>
      <patternFill patternType="solid">
        <fgColor theme="0" tint="-0.14999847407452621"/>
        <bgColor indexed="64"/>
      </patternFill>
    </fill>
    <fill>
      <patternFill patternType="solid">
        <fgColor theme="0" tint="-0.14999847407452621"/>
        <bgColor rgb="FF000000"/>
      </patternFill>
    </fill>
    <fill>
      <patternFill patternType="solid">
        <fgColor theme="0"/>
        <bgColor indexed="64"/>
      </patternFill>
    </fill>
    <fill>
      <patternFill patternType="solid">
        <fgColor theme="0"/>
        <bgColor rgb="FF000000"/>
      </patternFill>
    </fill>
    <fill>
      <patternFill patternType="solid">
        <fgColor theme="3" tint="0.749992370372631"/>
        <bgColor rgb="FF000000"/>
      </patternFill>
    </fill>
    <fill>
      <patternFill patternType="solid">
        <fgColor theme="8" tint="0.59999389629810485"/>
        <bgColor rgb="FF000000"/>
      </patternFill>
    </fill>
    <fill>
      <patternFill patternType="solid">
        <fgColor theme="3" tint="0.749992370372631"/>
        <bgColor indexed="64"/>
      </patternFill>
    </fill>
    <fill>
      <patternFill patternType="solid">
        <fgColor theme="8" tint="0.59999389629810485"/>
        <bgColor indexed="64"/>
      </patternFill>
    </fill>
    <fill>
      <patternFill patternType="solid">
        <fgColor rgb="FF00B0F0"/>
        <bgColor indexed="64"/>
      </patternFill>
    </fill>
    <fill>
      <patternFill patternType="solid">
        <fgColor theme="0" tint="-4.9989318521683403E-2"/>
        <bgColor indexed="64"/>
      </patternFill>
    </fill>
    <fill>
      <patternFill patternType="solid">
        <fgColor rgb="FFFF5050"/>
        <bgColor indexed="64"/>
      </patternFill>
    </fill>
    <fill>
      <patternFill patternType="solid">
        <fgColor rgb="FFFF5050"/>
        <bgColor rgb="FF000000"/>
      </patternFill>
    </fill>
    <fill>
      <patternFill patternType="solid">
        <fgColor rgb="FFFFC000"/>
        <bgColor indexed="64"/>
      </patternFill>
    </fill>
    <fill>
      <patternFill patternType="solid">
        <fgColor theme="0" tint="-0.249977111117893"/>
        <bgColor indexed="64"/>
      </patternFill>
    </fill>
  </fills>
  <borders count="96">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medium">
        <color rgb="FFFF0000"/>
      </left>
      <right style="medium">
        <color rgb="FFFF0000"/>
      </right>
      <top style="medium">
        <color rgb="FFFF0000"/>
      </top>
      <bottom style="medium">
        <color rgb="FFFF0000"/>
      </bottom>
      <diagonal/>
    </border>
    <border>
      <left/>
      <right/>
      <top style="medium">
        <color rgb="FFFF0000"/>
      </top>
      <bottom style="medium">
        <color rgb="FFFF0000"/>
      </bottom>
      <diagonal/>
    </border>
    <border>
      <left style="thin">
        <color indexed="64"/>
      </left>
      <right style="thin">
        <color indexed="64"/>
      </right>
      <top style="medium">
        <color rgb="FFFF0000"/>
      </top>
      <bottom style="medium">
        <color rgb="FFFF0000"/>
      </bottom>
      <diagonal/>
    </border>
    <border>
      <left style="thin">
        <color indexed="64"/>
      </left>
      <right/>
      <top style="medium">
        <color rgb="FFFF0000"/>
      </top>
      <bottom style="medium">
        <color rgb="FFFF0000"/>
      </bottom>
      <diagonal/>
    </border>
    <border>
      <left style="thin">
        <color indexed="64"/>
      </left>
      <right style="medium">
        <color rgb="FFFF0000"/>
      </right>
      <top style="medium">
        <color rgb="FFFF0000"/>
      </top>
      <bottom style="medium">
        <color rgb="FFFF0000"/>
      </bottom>
      <diagonal/>
    </border>
    <border>
      <left style="thin">
        <color theme="0" tint="-0.14999847407452621"/>
      </left>
      <right style="thin">
        <color theme="0" tint="-0.14999847407452621"/>
      </right>
      <top/>
      <bottom style="thin">
        <color theme="0" tint="-0.14999847407452621"/>
      </bottom>
      <diagonal/>
    </border>
    <border>
      <left/>
      <right style="thin">
        <color theme="0" tint="-0.14999847407452621"/>
      </right>
      <top/>
      <bottom style="thin">
        <color theme="0" tint="-0.14999847407452621"/>
      </bottom>
      <diagonal/>
    </border>
    <border>
      <left style="thin">
        <color theme="0" tint="-0.14999847407452621"/>
      </left>
      <right style="thin">
        <color indexed="64"/>
      </right>
      <top style="thin">
        <color theme="0" tint="-0.14999847407452621"/>
      </top>
      <bottom/>
      <diagonal/>
    </border>
    <border>
      <left style="thin">
        <color theme="0" tint="-0.14999847407452621"/>
      </left>
      <right/>
      <top style="thin">
        <color theme="0" tint="-0.14999847407452621"/>
      </top>
      <bottom/>
      <diagonal/>
    </border>
    <border>
      <left style="medium">
        <color rgb="FF7030A0"/>
      </left>
      <right/>
      <top style="medium">
        <color rgb="FF7030A0"/>
      </top>
      <bottom style="medium">
        <color rgb="FF7030A0"/>
      </bottom>
      <diagonal/>
    </border>
    <border>
      <left/>
      <right/>
      <top style="medium">
        <color rgb="FF7030A0"/>
      </top>
      <bottom style="medium">
        <color rgb="FF7030A0"/>
      </bottom>
      <diagonal/>
    </border>
    <border>
      <left/>
      <right style="medium">
        <color rgb="FF7030A0"/>
      </right>
      <top style="medium">
        <color rgb="FF7030A0"/>
      </top>
      <bottom style="medium">
        <color rgb="FF7030A0"/>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rgb="FFFF0000"/>
      </right>
      <top style="medium">
        <color rgb="FFFF0000"/>
      </top>
      <bottom style="thin">
        <color indexed="64"/>
      </bottom>
      <diagonal/>
    </border>
    <border>
      <left/>
      <right style="thin">
        <color indexed="64"/>
      </right>
      <top style="medium">
        <color rgb="FFFF0000"/>
      </top>
      <bottom/>
      <diagonal/>
    </border>
    <border>
      <left style="thin">
        <color indexed="64"/>
      </left>
      <right/>
      <top style="medium">
        <color rgb="FFFF0000"/>
      </top>
      <bottom/>
      <diagonal/>
    </border>
    <border>
      <left style="thin">
        <color indexed="64"/>
      </left>
      <right style="medium">
        <color rgb="FFFF0000"/>
      </right>
      <top style="medium">
        <color rgb="FFFF0000"/>
      </top>
      <bottom style="thin">
        <color indexed="64"/>
      </bottom>
      <diagonal/>
    </border>
    <border>
      <left style="thin">
        <color indexed="64"/>
      </left>
      <right style="medium">
        <color rgb="FFFF0000"/>
      </right>
      <top style="thin">
        <color indexed="64"/>
      </top>
      <bottom style="thin">
        <color indexed="64"/>
      </bottom>
      <diagonal/>
    </border>
    <border>
      <left/>
      <right style="thin">
        <color indexed="64"/>
      </right>
      <top style="thin">
        <color indexed="64"/>
      </top>
      <bottom style="medium">
        <color rgb="FFFF0000"/>
      </bottom>
      <diagonal/>
    </border>
    <border>
      <left style="thin">
        <color indexed="64"/>
      </left>
      <right style="thin">
        <color indexed="64"/>
      </right>
      <top/>
      <bottom style="medium">
        <color rgb="FFFF0000"/>
      </bottom>
      <diagonal/>
    </border>
    <border>
      <left style="thin">
        <color indexed="64"/>
      </left>
      <right/>
      <top/>
      <bottom style="medium">
        <color rgb="FFFF0000"/>
      </bottom>
      <diagonal/>
    </border>
    <border>
      <left style="thin">
        <color indexed="64"/>
      </left>
      <right style="medium">
        <color rgb="FFFF0000"/>
      </right>
      <top style="thin">
        <color indexed="64"/>
      </top>
      <bottom style="medium">
        <color rgb="FFFF0000"/>
      </bottom>
      <diagonal/>
    </border>
    <border>
      <left/>
      <right style="thin">
        <color indexed="64"/>
      </right>
      <top style="medium">
        <color rgb="FFFF0000"/>
      </top>
      <bottom style="thin">
        <color indexed="64"/>
      </bottom>
      <diagonal/>
    </border>
    <border>
      <left style="thin">
        <color indexed="64"/>
      </left>
      <right style="thin">
        <color indexed="64"/>
      </right>
      <top style="medium">
        <color rgb="FFFF0000"/>
      </top>
      <bottom style="thin">
        <color indexed="64"/>
      </bottom>
      <diagonal/>
    </border>
    <border>
      <left style="thin">
        <color indexed="64"/>
      </left>
      <right/>
      <top style="medium">
        <color rgb="FFFF0000"/>
      </top>
      <bottom style="thin">
        <color indexed="64"/>
      </bottom>
      <diagonal/>
    </border>
    <border>
      <left style="thin">
        <color indexed="64"/>
      </left>
      <right style="thin">
        <color indexed="64"/>
      </right>
      <top style="thin">
        <color indexed="64"/>
      </top>
      <bottom style="medium">
        <color rgb="FFFF0000"/>
      </bottom>
      <diagonal/>
    </border>
    <border>
      <left style="thin">
        <color indexed="64"/>
      </left>
      <right/>
      <top style="thin">
        <color indexed="64"/>
      </top>
      <bottom style="medium">
        <color rgb="FFFF0000"/>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rgb="FFFF0000"/>
      </left>
      <right style="medium">
        <color rgb="FFFF0000"/>
      </right>
      <top style="medium">
        <color rgb="FFFF0000"/>
      </top>
      <bottom/>
      <diagonal/>
    </border>
    <border>
      <left/>
      <right style="thin">
        <color rgb="FF000000"/>
      </right>
      <top style="medium">
        <color rgb="FFFF0000"/>
      </top>
      <bottom/>
      <diagonal/>
    </border>
    <border>
      <left style="thin">
        <color indexed="64"/>
      </left>
      <right style="medium">
        <color rgb="FFFF0000"/>
      </right>
      <top/>
      <bottom style="thin">
        <color indexed="64"/>
      </bottom>
      <diagonal/>
    </border>
    <border>
      <left style="thin">
        <color indexed="64"/>
      </left>
      <right/>
      <top style="thin">
        <color indexed="64"/>
      </top>
      <bottom style="thin">
        <color indexed="64"/>
      </bottom>
      <diagonal/>
    </border>
    <border>
      <left/>
      <right/>
      <top style="thin">
        <color rgb="FF000000"/>
      </top>
      <bottom/>
      <diagonal/>
    </border>
    <border>
      <left style="thin">
        <color indexed="64"/>
      </left>
      <right style="medium">
        <color rgb="FFFF0000"/>
      </right>
      <top/>
      <bottom style="medium">
        <color rgb="FFFF0000"/>
      </bottom>
      <diagonal/>
    </border>
    <border>
      <left/>
      <right style="thin">
        <color indexed="64"/>
      </right>
      <top/>
      <bottom/>
      <diagonal/>
    </border>
    <border>
      <left/>
      <right/>
      <top style="medium">
        <color indexed="64"/>
      </top>
      <bottom style="medium">
        <color indexed="64"/>
      </bottom>
      <diagonal/>
    </border>
    <border>
      <left/>
      <right/>
      <top/>
      <bottom style="thin">
        <color rgb="FF000000"/>
      </bottom>
      <diagonal/>
    </border>
    <border>
      <left style="medium">
        <color indexed="64"/>
      </left>
      <right/>
      <top style="thin">
        <color rgb="FF000000"/>
      </top>
      <bottom/>
      <diagonal/>
    </border>
    <border>
      <left style="medium">
        <color indexed="64"/>
      </left>
      <right/>
      <top/>
      <bottom/>
      <diagonal/>
    </border>
    <border>
      <left/>
      <right style="thin">
        <color rgb="FF000000"/>
      </right>
      <top style="thin">
        <color rgb="FF000000"/>
      </top>
      <bottom style="thin">
        <color rgb="FF000000"/>
      </bottom>
      <diagonal/>
    </border>
    <border>
      <left/>
      <right/>
      <top style="thin">
        <color indexed="64"/>
      </top>
      <bottom/>
      <diagonal/>
    </border>
    <border>
      <left/>
      <right/>
      <top style="thin">
        <color rgb="FF000000"/>
      </top>
      <bottom style="thin">
        <color rgb="FF000000"/>
      </bottom>
      <diagonal/>
    </border>
    <border>
      <left/>
      <right/>
      <top style="medium">
        <color rgb="FFFF0000"/>
      </top>
      <bottom style="thin">
        <color rgb="FF000000"/>
      </bottom>
      <diagonal/>
    </border>
    <border>
      <left/>
      <right/>
      <top style="thin">
        <color indexed="64"/>
      </top>
      <bottom style="thin">
        <color indexed="64"/>
      </bottom>
      <diagonal/>
    </border>
    <border>
      <left/>
      <right/>
      <top style="thin">
        <color rgb="FF000000"/>
      </top>
      <bottom style="medium">
        <color rgb="FFFF0000"/>
      </bottom>
      <diagonal/>
    </border>
    <border>
      <left style="medium">
        <color rgb="FF7030A0"/>
      </left>
      <right style="thin">
        <color rgb="FF7030A0"/>
      </right>
      <top style="medium">
        <color rgb="FF7030A0"/>
      </top>
      <bottom style="medium">
        <color rgb="FF7030A0"/>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right style="medium">
        <color rgb="FFC00000"/>
      </right>
      <top style="medium">
        <color rgb="FFC00000"/>
      </top>
      <bottom style="medium">
        <color rgb="FFC00000"/>
      </bottom>
      <diagonal/>
    </border>
    <border>
      <left/>
      <right/>
      <top/>
      <bottom style="thin">
        <color rgb="FFC00000"/>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rgb="FFC00000"/>
      </top>
      <bottom style="thin">
        <color rgb="FFC00000"/>
      </bottom>
      <diagonal/>
    </border>
    <border>
      <left/>
      <right/>
      <top style="medium">
        <color rgb="FFC00000"/>
      </top>
      <bottom style="medium">
        <color rgb="FFC00000"/>
      </bottom>
      <diagonal/>
    </border>
    <border>
      <left/>
      <right/>
      <top style="thin">
        <color rgb="FFC00000"/>
      </top>
      <bottom/>
      <diagonal/>
    </border>
    <border>
      <left/>
      <right style="medium">
        <color rgb="FFC00000"/>
      </right>
      <top style="medium">
        <color rgb="FFC00000"/>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theme="0" tint="-0.14999847407452621"/>
      </top>
      <bottom/>
      <diagonal/>
    </border>
    <border>
      <left style="thin">
        <color theme="0" tint="-0.14999847407452621"/>
      </left>
      <right/>
      <top/>
      <bottom/>
      <diagonal/>
    </border>
    <border>
      <left style="thin">
        <color theme="0" tint="-0.14999847407452621"/>
      </left>
      <right/>
      <top style="thin">
        <color theme="0" tint="-0.14999847407452621"/>
      </top>
      <bottom style="thin">
        <color theme="0" tint="-0.14999847407452621"/>
      </bottom>
      <diagonal/>
    </border>
    <border>
      <left style="thin">
        <color indexed="64"/>
      </left>
      <right/>
      <top style="thin">
        <color theme="0" tint="-0.14999847407452621"/>
      </top>
      <bottom style="thin">
        <color theme="0" tint="-0.14999847407452621"/>
      </bottom>
      <diagonal/>
    </border>
    <border>
      <left style="thin">
        <color indexed="64"/>
      </left>
      <right/>
      <top/>
      <bottom style="thin">
        <color theme="0" tint="-0.14999847407452621"/>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s>
  <cellStyleXfs count="1">
    <xf numFmtId="0" fontId="0" fillId="0" borderId="0"/>
  </cellStyleXfs>
  <cellXfs count="226">
    <xf numFmtId="0" fontId="0" fillId="0" borderId="0" xfId="0"/>
    <xf numFmtId="0" fontId="3" fillId="0" borderId="0" xfId="0" applyFont="1" applyAlignment="1">
      <alignment wrapText="1"/>
    </xf>
    <xf numFmtId="0" fontId="3" fillId="0" borderId="0" xfId="0" applyFont="1"/>
    <xf numFmtId="0" fontId="0" fillId="0" borderId="0" xfId="0" applyAlignment="1">
      <alignment horizontal="center"/>
    </xf>
    <xf numFmtId="0" fontId="8" fillId="3" borderId="0" xfId="0" applyFont="1" applyFill="1"/>
    <xf numFmtId="0" fontId="3" fillId="3" borderId="0" xfId="0" applyFont="1" applyFill="1"/>
    <xf numFmtId="0" fontId="4" fillId="3" borderId="0" xfId="0" applyFont="1" applyFill="1"/>
    <xf numFmtId="0" fontId="3" fillId="4" borderId="0" xfId="0" applyFont="1" applyFill="1" applyAlignment="1">
      <alignment horizontal="center"/>
    </xf>
    <xf numFmtId="0" fontId="3" fillId="5" borderId="0" xfId="0" applyFont="1" applyFill="1" applyAlignment="1">
      <alignment horizontal="center"/>
    </xf>
    <xf numFmtId="0" fontId="3" fillId="6" borderId="0" xfId="0" applyFont="1" applyFill="1" applyAlignment="1">
      <alignment horizontal="center"/>
    </xf>
    <xf numFmtId="0" fontId="3" fillId="5" borderId="0" xfId="0" applyFont="1" applyFill="1"/>
    <xf numFmtId="0" fontId="10" fillId="0" borderId="1" xfId="0" applyFont="1" applyBorder="1" applyAlignment="1">
      <alignment horizontal="center"/>
    </xf>
    <xf numFmtId="0" fontId="8" fillId="7" borderId="5" xfId="0" applyFont="1" applyFill="1" applyBorder="1" applyAlignment="1">
      <alignment horizontal="center"/>
    </xf>
    <xf numFmtId="0" fontId="8" fillId="3" borderId="6" xfId="0" applyFont="1" applyFill="1" applyBorder="1" applyAlignment="1">
      <alignment horizontal="center"/>
    </xf>
    <xf numFmtId="0" fontId="8" fillId="3" borderId="7" xfId="0" applyFont="1" applyFill="1" applyBorder="1" applyAlignment="1">
      <alignment horizontal="center"/>
    </xf>
    <xf numFmtId="0" fontId="8" fillId="0" borderId="0" xfId="0" applyFont="1"/>
    <xf numFmtId="0" fontId="0" fillId="0" borderId="4" xfId="0" applyBorder="1" applyAlignment="1">
      <alignment horizontal="center"/>
    </xf>
    <xf numFmtId="0" fontId="3" fillId="0" borderId="8" xfId="0" applyFont="1" applyBorder="1" applyAlignment="1">
      <alignment horizontal="left" vertical="center" wrapText="1"/>
    </xf>
    <xf numFmtId="0" fontId="3" fillId="4" borderId="9" xfId="0" applyFont="1" applyFill="1" applyBorder="1" applyAlignment="1">
      <alignment horizontal="center" vertical="center" wrapText="1"/>
    </xf>
    <xf numFmtId="0" fontId="3" fillId="5" borderId="10" xfId="0" applyFont="1" applyFill="1" applyBorder="1" applyAlignment="1">
      <alignment horizontal="center" vertical="center" wrapText="1"/>
    </xf>
    <xf numFmtId="0" fontId="3" fillId="0" borderId="0" xfId="0" applyFont="1" applyAlignment="1">
      <alignment horizontal="center" vertical="center" wrapText="1"/>
    </xf>
    <xf numFmtId="0" fontId="3" fillId="0" borderId="11" xfId="0" applyFont="1" applyBorder="1" applyAlignment="1">
      <alignment horizontal="left" vertical="center" wrapText="1"/>
    </xf>
    <xf numFmtId="0" fontId="3" fillId="4" borderId="12" xfId="0" applyFont="1" applyFill="1" applyBorder="1" applyAlignment="1">
      <alignment horizontal="center" vertical="center" wrapText="1"/>
    </xf>
    <xf numFmtId="0" fontId="0" fillId="0" borderId="1" xfId="0" applyBorder="1" applyAlignment="1">
      <alignment horizontal="center"/>
    </xf>
    <xf numFmtId="0" fontId="3" fillId="0" borderId="13" xfId="0" applyFont="1" applyBorder="1" applyAlignment="1">
      <alignment horizontal="left" vertical="center" wrapText="1"/>
    </xf>
    <xf numFmtId="0" fontId="3" fillId="4" borderId="14" xfId="0" applyFont="1" applyFill="1" applyBorder="1" applyAlignment="1">
      <alignment horizontal="center" vertical="center" wrapText="1"/>
    </xf>
    <xf numFmtId="0" fontId="3" fillId="4" borderId="15"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5" borderId="12" xfId="0" applyFont="1" applyFill="1" applyBorder="1" applyAlignment="1">
      <alignment horizontal="center" vertical="center" wrapText="1"/>
    </xf>
    <xf numFmtId="0" fontId="3" fillId="5" borderId="15" xfId="0" applyFont="1" applyFill="1" applyBorder="1" applyAlignment="1">
      <alignment horizontal="center" vertical="center" wrapText="1"/>
    </xf>
    <xf numFmtId="0" fontId="3" fillId="0" borderId="16" xfId="0" applyFont="1" applyBorder="1" applyAlignment="1">
      <alignment horizontal="left" vertical="center" wrapText="1"/>
    </xf>
    <xf numFmtId="0" fontId="0" fillId="8" borderId="17" xfId="0" applyFill="1" applyBorder="1" applyAlignment="1">
      <alignment horizontal="center"/>
    </xf>
    <xf numFmtId="0" fontId="3" fillId="8" borderId="16" xfId="0" applyFont="1" applyFill="1" applyBorder="1" applyAlignment="1">
      <alignment horizontal="left" vertical="center" wrapText="1"/>
    </xf>
    <xf numFmtId="0" fontId="3" fillId="9" borderId="15" xfId="0" applyFont="1" applyFill="1" applyBorder="1" applyAlignment="1">
      <alignment horizontal="center" vertical="center" wrapText="1"/>
    </xf>
    <xf numFmtId="0" fontId="0" fillId="0" borderId="18" xfId="0" applyBorder="1" applyAlignment="1">
      <alignment horizontal="center"/>
    </xf>
    <xf numFmtId="0" fontId="3" fillId="0" borderId="19" xfId="0" applyFont="1" applyBorder="1" applyAlignment="1">
      <alignment horizontal="left" vertical="center" wrapText="1"/>
    </xf>
    <xf numFmtId="0" fontId="3" fillId="6" borderId="20" xfId="0" applyFont="1" applyFill="1" applyBorder="1" applyAlignment="1">
      <alignment horizontal="center" vertical="center" wrapText="1"/>
    </xf>
    <xf numFmtId="0" fontId="3" fillId="6" borderId="21" xfId="0" applyFont="1" applyFill="1" applyBorder="1" applyAlignment="1">
      <alignment horizontal="center" vertical="center" wrapText="1"/>
    </xf>
    <xf numFmtId="0" fontId="3" fillId="5" borderId="22" xfId="0" applyFont="1" applyFill="1" applyBorder="1" applyAlignment="1">
      <alignment horizontal="center" vertical="center" wrapText="1"/>
    </xf>
    <xf numFmtId="0" fontId="0" fillId="10" borderId="23" xfId="0" applyFill="1" applyBorder="1" applyAlignment="1">
      <alignment horizontal="center"/>
    </xf>
    <xf numFmtId="0" fontId="3" fillId="10" borderId="23" xfId="0" applyFont="1" applyFill="1" applyBorder="1" applyAlignment="1">
      <alignment horizontal="left" vertical="center" wrapText="1"/>
    </xf>
    <xf numFmtId="0" fontId="3" fillId="11" borderId="24" xfId="0" applyFont="1" applyFill="1" applyBorder="1" applyAlignment="1">
      <alignment horizontal="center" vertical="center" wrapText="1"/>
    </xf>
    <xf numFmtId="0" fontId="3" fillId="12" borderId="25" xfId="0" applyFont="1" applyFill="1" applyBorder="1" applyAlignment="1">
      <alignment horizontal="center" vertical="center" wrapText="1"/>
    </xf>
    <xf numFmtId="0" fontId="3" fillId="13" borderId="14" xfId="0" applyFont="1" applyFill="1" applyBorder="1" applyAlignment="1">
      <alignment horizontal="center" vertical="center" wrapText="1"/>
    </xf>
    <xf numFmtId="0" fontId="3" fillId="0" borderId="26" xfId="0" applyFont="1" applyBorder="1"/>
    <xf numFmtId="0" fontId="3" fillId="0" borderId="0" xfId="0" applyFont="1" applyAlignment="1">
      <alignment horizontal="left"/>
    </xf>
    <xf numFmtId="0" fontId="3" fillId="0" borderId="0" xfId="0" applyFont="1" applyAlignment="1">
      <alignment horizontal="right" vertical="center" wrapText="1"/>
    </xf>
    <xf numFmtId="0" fontId="0" fillId="14" borderId="0" xfId="0" applyFill="1" applyAlignment="1">
      <alignment horizontal="center"/>
    </xf>
    <xf numFmtId="0" fontId="0" fillId="15" borderId="0" xfId="0" applyFill="1" applyAlignment="1">
      <alignment horizontal="center"/>
    </xf>
    <xf numFmtId="0" fontId="3" fillId="0" borderId="0" xfId="0" applyFont="1" applyAlignment="1">
      <alignment horizontal="center"/>
    </xf>
    <xf numFmtId="0" fontId="0" fillId="0" borderId="29" xfId="0" applyBorder="1"/>
    <xf numFmtId="0" fontId="0" fillId="0" borderId="0" xfId="0" applyAlignment="1">
      <alignment horizontal="right" vertical="center" wrapText="1"/>
    </xf>
    <xf numFmtId="0" fontId="0" fillId="0" borderId="0" xfId="0" applyAlignment="1">
      <alignment horizontal="right"/>
    </xf>
    <xf numFmtId="0" fontId="3" fillId="0" borderId="30" xfId="0" applyFont="1" applyBorder="1" applyAlignment="1">
      <alignment horizontal="right" vertical="center" wrapText="1"/>
    </xf>
    <xf numFmtId="0" fontId="0" fillId="16" borderId="31" xfId="0" applyFill="1" applyBorder="1" applyAlignment="1">
      <alignment horizontal="right"/>
    </xf>
    <xf numFmtId="0" fontId="3" fillId="6" borderId="14" xfId="0" applyFont="1" applyFill="1" applyBorder="1" applyAlignment="1">
      <alignment horizontal="center" vertical="center" wrapText="1"/>
    </xf>
    <xf numFmtId="0" fontId="3" fillId="6" borderId="10" xfId="0" applyFont="1" applyFill="1" applyBorder="1" applyAlignment="1">
      <alignment horizontal="center" vertical="center" wrapText="1"/>
    </xf>
    <xf numFmtId="0" fontId="0" fillId="0" borderId="32" xfId="0" applyBorder="1" applyAlignment="1">
      <alignment horizontal="left" vertical="center" wrapText="1"/>
    </xf>
    <xf numFmtId="0" fontId="3" fillId="4" borderId="33" xfId="0" applyFont="1" applyFill="1" applyBorder="1" applyAlignment="1">
      <alignment horizontal="center" vertical="center" wrapText="1"/>
    </xf>
    <xf numFmtId="0" fontId="3" fillId="4" borderId="34" xfId="0" applyFont="1" applyFill="1" applyBorder="1" applyAlignment="1">
      <alignment horizontal="center" vertical="center" wrapText="1"/>
    </xf>
    <xf numFmtId="0" fontId="3" fillId="4" borderId="35" xfId="0" applyFont="1" applyFill="1" applyBorder="1" applyAlignment="1">
      <alignment horizontal="center" vertical="center" wrapText="1"/>
    </xf>
    <xf numFmtId="0" fontId="3" fillId="5" borderId="36" xfId="0" applyFont="1" applyFill="1" applyBorder="1" applyAlignment="1">
      <alignment horizontal="center" vertical="center" wrapText="1"/>
    </xf>
    <xf numFmtId="0" fontId="3" fillId="0" borderId="37" xfId="0" applyFont="1" applyBorder="1" applyAlignment="1">
      <alignment horizontal="left" vertical="center" wrapText="1"/>
    </xf>
    <xf numFmtId="0" fontId="3" fillId="6" borderId="38" xfId="0" applyFont="1" applyFill="1" applyBorder="1" applyAlignment="1">
      <alignment horizontal="center" vertical="center" wrapText="1"/>
    </xf>
    <xf numFmtId="0" fontId="3" fillId="6" borderId="39" xfId="0" applyFont="1" applyFill="1" applyBorder="1" applyAlignment="1">
      <alignment horizontal="center" vertical="center" wrapText="1"/>
    </xf>
    <xf numFmtId="0" fontId="3" fillId="6" borderId="40" xfId="0" applyFont="1" applyFill="1" applyBorder="1" applyAlignment="1">
      <alignment horizontal="center" vertical="center" wrapText="1"/>
    </xf>
    <xf numFmtId="0" fontId="3" fillId="0" borderId="41" xfId="0" applyFont="1" applyBorder="1" applyAlignment="1">
      <alignment horizontal="left" vertical="center" wrapText="1"/>
    </xf>
    <xf numFmtId="0" fontId="3" fillId="6" borderId="42" xfId="0" applyFont="1" applyFill="1" applyBorder="1" applyAlignment="1">
      <alignment horizontal="center" vertical="center" wrapText="1"/>
    </xf>
    <xf numFmtId="0" fontId="3" fillId="6" borderId="43" xfId="0" applyFont="1" applyFill="1" applyBorder="1" applyAlignment="1">
      <alignment horizontal="center" vertical="center" wrapText="1"/>
    </xf>
    <xf numFmtId="0" fontId="3" fillId="5" borderId="35" xfId="0" applyFont="1" applyFill="1" applyBorder="1" applyAlignment="1">
      <alignment horizontal="center" vertical="center" wrapText="1"/>
    </xf>
    <xf numFmtId="0" fontId="3" fillId="0" borderId="18" xfId="0" applyFont="1" applyBorder="1" applyAlignment="1">
      <alignment horizontal="center" vertical="center" wrapText="1"/>
    </xf>
    <xf numFmtId="0" fontId="3" fillId="6" borderId="44" xfId="0" applyFont="1" applyFill="1" applyBorder="1" applyAlignment="1">
      <alignment horizontal="center" vertical="center" wrapText="1"/>
    </xf>
    <xf numFmtId="0" fontId="3" fillId="6" borderId="45" xfId="0" applyFont="1" applyFill="1" applyBorder="1" applyAlignment="1">
      <alignment horizontal="center" vertical="center" wrapText="1"/>
    </xf>
    <xf numFmtId="0" fontId="3" fillId="5" borderId="40" xfId="0" applyFont="1" applyFill="1" applyBorder="1" applyAlignment="1">
      <alignment horizontal="center" vertical="center" wrapText="1"/>
    </xf>
    <xf numFmtId="0" fontId="0" fillId="10" borderId="46" xfId="0" applyFill="1" applyBorder="1" applyAlignment="1">
      <alignment horizontal="center"/>
    </xf>
    <xf numFmtId="0" fontId="3" fillId="10" borderId="46" xfId="0" applyFont="1" applyFill="1" applyBorder="1" applyAlignment="1">
      <alignment horizontal="left" vertical="center" wrapText="1"/>
    </xf>
    <xf numFmtId="0" fontId="3" fillId="11" borderId="47" xfId="0" applyFont="1" applyFill="1" applyBorder="1" applyAlignment="1">
      <alignment horizontal="center" vertical="center" wrapText="1"/>
    </xf>
    <xf numFmtId="0" fontId="10" fillId="0" borderId="48" xfId="0" applyFont="1" applyBorder="1" applyAlignment="1">
      <alignment horizontal="center"/>
    </xf>
    <xf numFmtId="0" fontId="8" fillId="7" borderId="49" xfId="0" applyFont="1" applyFill="1" applyBorder="1" applyAlignment="1">
      <alignment horizontal="center"/>
    </xf>
    <xf numFmtId="0" fontId="4" fillId="0" borderId="0" xfId="0" applyFont="1"/>
    <xf numFmtId="0" fontId="3" fillId="6" borderId="9" xfId="0" applyFont="1" applyFill="1" applyBorder="1" applyAlignment="1">
      <alignment horizontal="center" vertical="center" wrapText="1"/>
    </xf>
    <xf numFmtId="0" fontId="3" fillId="0" borderId="15" xfId="0" applyFont="1" applyBorder="1" applyAlignment="1">
      <alignment horizontal="left" vertical="center" wrapText="1"/>
    </xf>
    <xf numFmtId="0" fontId="3" fillId="0" borderId="50" xfId="0" applyFont="1" applyBorder="1" applyAlignment="1">
      <alignment horizontal="center" vertical="center" wrapText="1"/>
    </xf>
    <xf numFmtId="0" fontId="3" fillId="0" borderId="51" xfId="0" applyFont="1" applyBorder="1" applyAlignment="1">
      <alignment horizontal="left" vertical="center" wrapText="1"/>
    </xf>
    <xf numFmtId="0" fontId="3" fillId="4" borderId="42" xfId="0" applyFont="1" applyFill="1" applyBorder="1" applyAlignment="1">
      <alignment horizontal="center" vertical="center" wrapText="1"/>
    </xf>
    <xf numFmtId="0" fontId="3" fillId="5" borderId="52" xfId="0" applyFont="1" applyFill="1" applyBorder="1" applyAlignment="1">
      <alignment horizontal="center" vertical="center" wrapText="1"/>
    </xf>
    <xf numFmtId="0" fontId="3" fillId="6" borderId="53" xfId="0" applyFont="1" applyFill="1" applyBorder="1" applyAlignment="1">
      <alignment horizontal="center" vertical="center" wrapText="1"/>
    </xf>
    <xf numFmtId="0" fontId="3" fillId="0" borderId="0" xfId="0" applyFont="1" applyAlignment="1">
      <alignment horizontal="center" wrapText="1"/>
    </xf>
    <xf numFmtId="0" fontId="3" fillId="0" borderId="54" xfId="0" applyFont="1" applyBorder="1" applyAlignment="1">
      <alignment horizontal="left"/>
    </xf>
    <xf numFmtId="0" fontId="3" fillId="6" borderId="12" xfId="0" applyFont="1" applyFill="1" applyBorder="1" applyAlignment="1">
      <alignment horizontal="center"/>
    </xf>
    <xf numFmtId="0" fontId="3" fillId="0" borderId="37" xfId="0" applyFont="1" applyBorder="1"/>
    <xf numFmtId="0" fontId="3" fillId="6" borderId="44" xfId="0" applyFont="1" applyFill="1" applyBorder="1" applyAlignment="1">
      <alignment horizontal="center"/>
    </xf>
    <xf numFmtId="0" fontId="3" fillId="6" borderId="45" xfId="0" applyFont="1" applyFill="1" applyBorder="1" applyAlignment="1">
      <alignment horizontal="center"/>
    </xf>
    <xf numFmtId="0" fontId="3" fillId="5" borderId="55" xfId="0" applyFont="1" applyFill="1" applyBorder="1" applyAlignment="1">
      <alignment horizontal="center" vertical="center" wrapText="1"/>
    </xf>
    <xf numFmtId="0" fontId="3" fillId="12" borderId="17" xfId="0" applyFont="1" applyFill="1" applyBorder="1" applyAlignment="1">
      <alignment horizontal="center" vertical="center" wrapText="1"/>
    </xf>
    <xf numFmtId="0" fontId="3" fillId="13" borderId="17" xfId="0" applyFont="1" applyFill="1" applyBorder="1" applyAlignment="1">
      <alignment horizontal="center" vertical="center" wrapText="1"/>
    </xf>
    <xf numFmtId="0" fontId="3" fillId="0" borderId="56" xfId="0" applyFont="1" applyBorder="1" applyAlignment="1">
      <alignment horizontal="left" vertical="center" wrapText="1"/>
    </xf>
    <xf numFmtId="0" fontId="10" fillId="0" borderId="0" xfId="0" applyFont="1" applyAlignment="1">
      <alignment horizontal="center"/>
    </xf>
    <xf numFmtId="0" fontId="8" fillId="7" borderId="57" xfId="0" applyFont="1" applyFill="1" applyBorder="1" applyAlignment="1">
      <alignment horizontal="center"/>
    </xf>
    <xf numFmtId="0" fontId="8" fillId="3" borderId="1" xfId="0" applyFont="1" applyFill="1" applyBorder="1" applyAlignment="1">
      <alignment horizontal="center"/>
    </xf>
    <xf numFmtId="0" fontId="3" fillId="0" borderId="58" xfId="0" applyFont="1" applyBorder="1" applyAlignment="1">
      <alignment horizontal="left" vertical="center" wrapText="1"/>
    </xf>
    <xf numFmtId="0" fontId="3" fillId="4" borderId="17" xfId="0" applyFont="1" applyFill="1" applyBorder="1" applyAlignment="1">
      <alignment horizontal="center" vertical="center" wrapText="1"/>
    </xf>
    <xf numFmtId="0" fontId="3" fillId="4" borderId="10" xfId="0" applyFont="1" applyFill="1" applyBorder="1" applyAlignment="1">
      <alignment horizontal="center" vertical="center" wrapText="1"/>
    </xf>
    <xf numFmtId="0" fontId="3" fillId="6" borderId="13" xfId="0" applyFont="1" applyFill="1" applyBorder="1" applyAlignment="1">
      <alignment horizontal="center" vertical="center" wrapText="1"/>
    </xf>
    <xf numFmtId="0" fontId="3" fillId="5" borderId="13" xfId="0" applyFont="1" applyFill="1" applyBorder="1" applyAlignment="1">
      <alignment horizontal="center" vertical="center" wrapText="1"/>
    </xf>
    <xf numFmtId="0" fontId="0" fillId="0" borderId="2" xfId="0" applyBorder="1" applyAlignment="1">
      <alignment horizontal="center"/>
    </xf>
    <xf numFmtId="0" fontId="3" fillId="6" borderId="17" xfId="0" applyFont="1" applyFill="1" applyBorder="1" applyAlignment="1">
      <alignment horizontal="center" vertical="center" wrapText="1"/>
    </xf>
    <xf numFmtId="0" fontId="3" fillId="0" borderId="61" xfId="0" applyFont="1" applyBorder="1" applyAlignment="1">
      <alignment horizontal="left" vertical="center" wrapText="1"/>
    </xf>
    <xf numFmtId="0" fontId="3" fillId="6" borderId="62" xfId="0" applyFont="1" applyFill="1" applyBorder="1" applyAlignment="1">
      <alignment horizontal="center" vertical="center" wrapText="1"/>
    </xf>
    <xf numFmtId="0" fontId="3" fillId="0" borderId="63" xfId="0" applyFont="1" applyBorder="1" applyAlignment="1">
      <alignment horizontal="left" vertical="center" wrapText="1"/>
    </xf>
    <xf numFmtId="0" fontId="3" fillId="0" borderId="63" xfId="0" applyFont="1" applyBorder="1"/>
    <xf numFmtId="0" fontId="3" fillId="4" borderId="12" xfId="0" applyFont="1" applyFill="1" applyBorder="1" applyAlignment="1">
      <alignment horizontal="center"/>
    </xf>
    <xf numFmtId="0" fontId="3" fillId="0" borderId="54" xfId="0" applyFont="1" applyBorder="1"/>
    <xf numFmtId="0" fontId="3" fillId="0" borderId="54" xfId="0" applyFont="1" applyBorder="1" applyAlignment="1">
      <alignment horizontal="left" vertical="center" wrapText="1"/>
    </xf>
    <xf numFmtId="0" fontId="3" fillId="6" borderId="15" xfId="0" applyFont="1" applyFill="1" applyBorder="1" applyAlignment="1">
      <alignment horizontal="center"/>
    </xf>
    <xf numFmtId="0" fontId="3" fillId="0" borderId="64" xfId="0" applyFont="1" applyBorder="1" applyAlignment="1">
      <alignment horizontal="left" vertical="center" wrapText="1"/>
    </xf>
    <xf numFmtId="0" fontId="3" fillId="4" borderId="42" xfId="0" applyFont="1" applyFill="1" applyBorder="1" applyAlignment="1">
      <alignment horizontal="center"/>
    </xf>
    <xf numFmtId="0" fontId="3" fillId="4" borderId="43" xfId="0" applyFont="1" applyFill="1" applyBorder="1" applyAlignment="1">
      <alignment horizontal="center"/>
    </xf>
    <xf numFmtId="0" fontId="3" fillId="4" borderId="35" xfId="0" applyFont="1" applyFill="1" applyBorder="1" applyAlignment="1">
      <alignment horizontal="center"/>
    </xf>
    <xf numFmtId="0" fontId="3" fillId="6" borderId="36" xfId="0" applyFont="1" applyFill="1" applyBorder="1" applyAlignment="1">
      <alignment horizontal="center" vertical="center" wrapText="1"/>
    </xf>
    <xf numFmtId="0" fontId="3" fillId="0" borderId="65" xfId="0" applyFont="1" applyBorder="1" applyAlignment="1">
      <alignment horizontal="left" vertical="center" wrapText="1"/>
    </xf>
    <xf numFmtId="0" fontId="3" fillId="0" borderId="66" xfId="0" applyFont="1" applyBorder="1"/>
    <xf numFmtId="0" fontId="3" fillId="6" borderId="40" xfId="0" applyFont="1" applyFill="1" applyBorder="1" applyAlignment="1">
      <alignment horizontal="center"/>
    </xf>
    <xf numFmtId="0" fontId="0" fillId="14" borderId="0" xfId="0" applyFill="1"/>
    <xf numFmtId="0" fontId="0" fillId="15" borderId="0" xfId="0" applyFill="1"/>
    <xf numFmtId="1" fontId="0" fillId="0" borderId="0" xfId="0" applyNumberFormat="1" applyAlignment="1">
      <alignment horizontal="left"/>
    </xf>
    <xf numFmtId="0" fontId="0" fillId="0" borderId="0" xfId="0" applyAlignment="1">
      <alignment horizontal="left"/>
    </xf>
    <xf numFmtId="0" fontId="1" fillId="0" borderId="67" xfId="0" applyFont="1" applyBorder="1" applyAlignment="1">
      <alignment horizontal="right" vertical="center" wrapText="1"/>
    </xf>
    <xf numFmtId="0" fontId="0" fillId="0" borderId="28" xfId="0" applyBorder="1"/>
    <xf numFmtId="1" fontId="0" fillId="16" borderId="31" xfId="0" applyNumberFormat="1" applyFill="1" applyBorder="1"/>
    <xf numFmtId="0" fontId="0" fillId="0" borderId="2" xfId="0" applyBorder="1"/>
    <xf numFmtId="0" fontId="1" fillId="17" borderId="30" xfId="0" applyFont="1" applyFill="1" applyBorder="1" applyAlignment="1">
      <alignment horizontal="center"/>
    </xf>
    <xf numFmtId="0" fontId="1" fillId="17" borderId="57" xfId="0" applyFont="1" applyFill="1" applyBorder="1" applyAlignment="1">
      <alignment horizontal="center"/>
    </xf>
    <xf numFmtId="0" fontId="1" fillId="17" borderId="31" xfId="0" applyFont="1" applyFill="1" applyBorder="1" applyAlignment="1">
      <alignment horizontal="center"/>
    </xf>
    <xf numFmtId="0" fontId="0" fillId="17" borderId="2" xfId="0" applyFill="1" applyBorder="1"/>
    <xf numFmtId="0" fontId="0" fillId="0" borderId="69" xfId="0" applyBorder="1" applyAlignment="1">
      <alignment horizontal="center"/>
    </xf>
    <xf numFmtId="0" fontId="0" fillId="0" borderId="70" xfId="0" applyBorder="1" applyAlignment="1">
      <alignment horizontal="center"/>
    </xf>
    <xf numFmtId="0" fontId="0" fillId="0" borderId="71" xfId="0" applyBorder="1" applyAlignment="1">
      <alignment horizontal="center"/>
    </xf>
    <xf numFmtId="0" fontId="0" fillId="17" borderId="3" xfId="0" applyFill="1" applyBorder="1"/>
    <xf numFmtId="1" fontId="0" fillId="16" borderId="72" xfId="0" applyNumberFormat="1" applyFill="1" applyBorder="1" applyAlignment="1">
      <alignment horizontal="center"/>
    </xf>
    <xf numFmtId="1" fontId="0" fillId="16" borderId="12" xfId="0" applyNumberFormat="1" applyFill="1" applyBorder="1" applyAlignment="1">
      <alignment horizontal="center"/>
    </xf>
    <xf numFmtId="1" fontId="0" fillId="16" borderId="73" xfId="0" applyNumberFormat="1" applyFill="1" applyBorder="1" applyAlignment="1">
      <alignment horizontal="center"/>
    </xf>
    <xf numFmtId="0" fontId="0" fillId="0" borderId="74" xfId="0" applyBorder="1" applyAlignment="1">
      <alignment horizontal="center"/>
    </xf>
    <xf numFmtId="0" fontId="0" fillId="0" borderId="68" xfId="0" applyBorder="1" applyAlignment="1">
      <alignment horizontal="center"/>
    </xf>
    <xf numFmtId="0" fontId="0" fillId="0" borderId="75" xfId="0" applyBorder="1" applyAlignment="1">
      <alignment horizontal="center"/>
    </xf>
    <xf numFmtId="10" fontId="0" fillId="0" borderId="60" xfId="0" applyNumberFormat="1" applyBorder="1" applyAlignment="1">
      <alignment horizontal="center"/>
    </xf>
    <xf numFmtId="10" fontId="0" fillId="0" borderId="76" xfId="0" applyNumberFormat="1" applyBorder="1" applyAlignment="1">
      <alignment horizontal="center"/>
    </xf>
    <xf numFmtId="0" fontId="0" fillId="8" borderId="3" xfId="0" applyFill="1" applyBorder="1"/>
    <xf numFmtId="0" fontId="9" fillId="2" borderId="77" xfId="0" applyFont="1" applyFill="1" applyBorder="1" applyAlignment="1">
      <alignment horizontal="center" vertical="center" wrapText="1"/>
    </xf>
    <xf numFmtId="0" fontId="1" fillId="0" borderId="1" xfId="0" applyFont="1" applyBorder="1" applyAlignment="1">
      <alignment horizontal="center"/>
    </xf>
    <xf numFmtId="0" fontId="3" fillId="2" borderId="78" xfId="0" applyFont="1" applyFill="1" applyBorder="1" applyAlignment="1">
      <alignment wrapText="1"/>
    </xf>
    <xf numFmtId="0" fontId="13" fillId="18" borderId="1" xfId="0" applyFont="1" applyFill="1" applyBorder="1" applyAlignment="1">
      <alignment horizontal="center"/>
    </xf>
    <xf numFmtId="10" fontId="0" fillId="0" borderId="0" xfId="0" applyNumberFormat="1" applyAlignment="1">
      <alignment horizontal="center"/>
    </xf>
    <xf numFmtId="0" fontId="0" fillId="21" borderId="1" xfId="0" applyFill="1" applyBorder="1"/>
    <xf numFmtId="0" fontId="0" fillId="0" borderId="74" xfId="0" applyBorder="1"/>
    <xf numFmtId="0" fontId="0" fillId="0" borderId="12" xfId="0" applyBorder="1"/>
    <xf numFmtId="0" fontId="0" fillId="0" borderId="8" xfId="0" applyBorder="1"/>
    <xf numFmtId="0" fontId="0" fillId="0" borderId="79" xfId="0" applyBorder="1"/>
    <xf numFmtId="0" fontId="0" fillId="0" borderId="80" xfId="0" applyBorder="1"/>
    <xf numFmtId="0" fontId="0" fillId="0" borderId="72" xfId="0" applyBorder="1"/>
    <xf numFmtId="0" fontId="0" fillId="0" borderId="73" xfId="0" applyBorder="1"/>
    <xf numFmtId="0" fontId="2" fillId="2" borderId="77" xfId="0" applyFont="1" applyFill="1" applyBorder="1" applyAlignment="1">
      <alignment horizontal="center" vertical="center" wrapText="1"/>
    </xf>
    <xf numFmtId="0" fontId="3" fillId="2" borderId="81" xfId="0" applyFont="1" applyFill="1" applyBorder="1" applyAlignment="1">
      <alignment wrapText="1"/>
    </xf>
    <xf numFmtId="0" fontId="9" fillId="2" borderId="82"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3" fillId="2" borderId="83" xfId="0" applyFont="1" applyFill="1" applyBorder="1" applyAlignment="1">
      <alignment wrapText="1"/>
    </xf>
    <xf numFmtId="0" fontId="2" fillId="2" borderId="84"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9" fillId="19" borderId="57" xfId="0" applyFont="1" applyFill="1" applyBorder="1" applyAlignment="1">
      <alignment wrapText="1"/>
    </xf>
    <xf numFmtId="0" fontId="15" fillId="19" borderId="31" xfId="0" applyFont="1" applyFill="1" applyBorder="1"/>
    <xf numFmtId="0" fontId="14" fillId="19" borderId="1" xfId="0" applyFont="1" applyFill="1" applyBorder="1" applyAlignment="1">
      <alignment wrapText="1"/>
    </xf>
    <xf numFmtId="0" fontId="0" fillId="10" borderId="14" xfId="0" applyFill="1" applyBorder="1"/>
    <xf numFmtId="0" fontId="0" fillId="0" borderId="87" xfId="0" applyBorder="1"/>
    <xf numFmtId="0" fontId="0" fillId="10" borderId="89" xfId="0" applyFill="1" applyBorder="1"/>
    <xf numFmtId="0" fontId="0" fillId="0" borderId="88" xfId="0" applyBorder="1"/>
    <xf numFmtId="0" fontId="0" fillId="0" borderId="90" xfId="0" applyBorder="1"/>
    <xf numFmtId="0" fontId="0" fillId="0" borderId="46" xfId="0" applyBorder="1"/>
    <xf numFmtId="0" fontId="0" fillId="0" borderId="91" xfId="0" applyBorder="1"/>
    <xf numFmtId="0" fontId="0" fillId="17" borderId="1" xfId="0" applyFill="1" applyBorder="1"/>
    <xf numFmtId="0" fontId="0" fillId="0" borderId="23" xfId="0" applyBorder="1"/>
    <xf numFmtId="0" fontId="0" fillId="8" borderId="2" xfId="0" applyFill="1" applyBorder="1"/>
    <xf numFmtId="0" fontId="0" fillId="8" borderId="8" xfId="0" applyFill="1" applyBorder="1"/>
    <xf numFmtId="0" fontId="0" fillId="8" borderId="79" xfId="0" applyFill="1" applyBorder="1"/>
    <xf numFmtId="0" fontId="0" fillId="8" borderId="80" xfId="0" applyFill="1" applyBorder="1"/>
    <xf numFmtId="0" fontId="0" fillId="8" borderId="4" xfId="0" applyFill="1" applyBorder="1"/>
    <xf numFmtId="0" fontId="0" fillId="8" borderId="92" xfId="0" applyFill="1" applyBorder="1"/>
    <xf numFmtId="0" fontId="0" fillId="8" borderId="93" xfId="0" applyFill="1" applyBorder="1"/>
    <xf numFmtId="0" fontId="0" fillId="8" borderId="94" xfId="0" applyFill="1" applyBorder="1"/>
    <xf numFmtId="0" fontId="0" fillId="0" borderId="95" xfId="0" applyBorder="1" applyAlignment="1">
      <alignment horizontal="left" vertical="center" wrapText="1"/>
    </xf>
    <xf numFmtId="0" fontId="0" fillId="20" borderId="30" xfId="0" applyFill="1" applyBorder="1" applyAlignment="1">
      <alignment horizontal="center"/>
    </xf>
    <xf numFmtId="0" fontId="0" fillId="20" borderId="57" xfId="0" applyFill="1" applyBorder="1" applyAlignment="1">
      <alignment horizontal="center"/>
    </xf>
    <xf numFmtId="0" fontId="0" fillId="20" borderId="31" xfId="0" applyFill="1" applyBorder="1" applyAlignment="1">
      <alignment horizontal="center"/>
    </xf>
    <xf numFmtId="0" fontId="0" fillId="21" borderId="30" xfId="0" applyFill="1" applyBorder="1" applyAlignment="1">
      <alignment horizontal="center"/>
    </xf>
    <xf numFmtId="0" fontId="0" fillId="21" borderId="57" xfId="0" applyFill="1" applyBorder="1" applyAlignment="1">
      <alignment horizontal="center"/>
    </xf>
    <xf numFmtId="0" fontId="0" fillId="21" borderId="31" xfId="0" applyFill="1" applyBorder="1" applyAlignment="1">
      <alignment horizontal="center"/>
    </xf>
    <xf numFmtId="10" fontId="0" fillId="0" borderId="60" xfId="0" applyNumberFormat="1" applyBorder="1" applyAlignment="1">
      <alignment horizontal="center"/>
    </xf>
    <xf numFmtId="0" fontId="0" fillId="0" borderId="0" xfId="0" applyAlignment="1">
      <alignment horizontal="center"/>
    </xf>
    <xf numFmtId="0" fontId="0" fillId="0" borderId="76" xfId="0" applyBorder="1" applyAlignment="1">
      <alignment horizontal="center"/>
    </xf>
    <xf numFmtId="0" fontId="0" fillId="0" borderId="68" xfId="0" applyBorder="1" applyAlignment="1">
      <alignment horizontal="center"/>
    </xf>
    <xf numFmtId="0" fontId="0" fillId="0" borderId="75" xfId="0" applyBorder="1" applyAlignment="1">
      <alignment horizontal="center"/>
    </xf>
    <xf numFmtId="0" fontId="12" fillId="17" borderId="68" xfId="0" applyFont="1" applyFill="1" applyBorder="1" applyAlignment="1">
      <alignment horizontal="center"/>
    </xf>
    <xf numFmtId="10" fontId="0" fillId="0" borderId="69" xfId="0" applyNumberFormat="1" applyBorder="1" applyAlignment="1">
      <alignment horizontal="center"/>
    </xf>
    <xf numFmtId="10" fontId="0" fillId="0" borderId="70" xfId="0" applyNumberFormat="1" applyBorder="1" applyAlignment="1">
      <alignment horizontal="center"/>
    </xf>
    <xf numFmtId="10" fontId="0" fillId="0" borderId="71" xfId="0" applyNumberFormat="1" applyBorder="1" applyAlignment="1">
      <alignment horizontal="center"/>
    </xf>
    <xf numFmtId="0" fontId="0" fillId="21" borderId="0" xfId="0" applyFill="1"/>
    <xf numFmtId="0" fontId="0" fillId="21" borderId="76" xfId="0" applyFill="1" applyBorder="1"/>
    <xf numFmtId="0" fontId="0" fillId="8" borderId="85" xfId="0" applyFill="1" applyBorder="1"/>
    <xf numFmtId="0" fontId="0" fillId="0" borderId="65" xfId="0" applyBorder="1"/>
    <xf numFmtId="0" fontId="0" fillId="0" borderId="86" xfId="0" applyBorder="1"/>
    <xf numFmtId="2" fontId="0" fillId="0" borderId="60" xfId="0" applyNumberFormat="1" applyBorder="1" applyAlignment="1">
      <alignment horizontal="center"/>
    </xf>
    <xf numFmtId="2" fontId="0" fillId="0" borderId="0" xfId="0" applyNumberFormat="1" applyAlignment="1">
      <alignment horizontal="center"/>
    </xf>
    <xf numFmtId="2" fontId="0" fillId="0" borderId="76" xfId="0" applyNumberFormat="1" applyBorder="1" applyAlignment="1">
      <alignment horizontal="center"/>
    </xf>
    <xf numFmtId="0" fontId="3" fillId="0" borderId="59" xfId="0" applyFont="1" applyBorder="1" applyAlignment="1">
      <alignment horizontal="left" vertical="center" wrapText="1"/>
    </xf>
    <xf numFmtId="0" fontId="3" fillId="0" borderId="60" xfId="0" applyFont="1" applyBorder="1" applyAlignment="1">
      <alignment horizontal="left" vertical="center" wrapText="1"/>
    </xf>
    <xf numFmtId="0" fontId="3" fillId="0" borderId="0" xfId="0" applyFont="1" applyAlignment="1">
      <alignment horizontal="center" vertical="center" wrapText="1"/>
    </xf>
    <xf numFmtId="0" fontId="3" fillId="3" borderId="0" xfId="0" applyFont="1" applyFill="1"/>
    <xf numFmtId="0" fontId="3" fillId="5" borderId="0" xfId="0" applyFont="1" applyFill="1"/>
    <xf numFmtId="0" fontId="3" fillId="5" borderId="0" xfId="0" applyFont="1" applyFill="1" applyAlignment="1">
      <alignment horizontal="center"/>
    </xf>
    <xf numFmtId="0" fontId="3" fillId="0" borderId="0" xfId="0" applyFont="1"/>
    <xf numFmtId="0" fontId="1" fillId="0" borderId="27" xfId="0" applyFont="1" applyBorder="1" applyAlignment="1">
      <alignment horizontal="right" vertical="center" wrapText="1"/>
    </xf>
    <xf numFmtId="0" fontId="1" fillId="0" borderId="28" xfId="0" applyFont="1" applyBorder="1" applyAlignment="1">
      <alignment horizontal="right" vertical="center" wrapText="1"/>
    </xf>
    <xf numFmtId="0" fontId="6" fillId="2" borderId="2" xfId="0" applyFont="1" applyFill="1" applyBorder="1" applyAlignment="1">
      <alignment horizontal="center" vertical="center" wrapText="1"/>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0" fontId="0" fillId="0" borderId="4" xfId="0" applyBorder="1" applyAlignment="1">
      <alignment horizontal="center" vertical="center" wrapText="1"/>
    </xf>
  </cellXfs>
  <cellStyles count="1">
    <cellStyle name="Normal" xfId="0" builtinId="0"/>
  </cellStyles>
  <dxfs count="56">
    <dxf>
      <fill>
        <patternFill>
          <bgColor rgb="FFFF0000"/>
        </patternFill>
      </fill>
    </dxf>
    <dxf>
      <fill>
        <patternFill>
          <bgColor rgb="FFFFC000"/>
        </patternFill>
      </fill>
    </dxf>
    <dxf>
      <fill>
        <patternFill>
          <bgColor rgb="FFFFFF66"/>
        </patternFill>
      </fill>
    </dxf>
    <dxf>
      <fill>
        <patternFill>
          <bgColor rgb="FF00B050"/>
        </patternFill>
      </fill>
    </dxf>
    <dxf>
      <fill>
        <patternFill>
          <bgColor rgb="FFFFC7CE"/>
        </patternFill>
      </fill>
    </dxf>
    <dxf>
      <fill>
        <patternFill>
          <bgColor rgb="FFFF0000"/>
        </patternFill>
      </fill>
    </dxf>
    <dxf>
      <fill>
        <patternFill>
          <bgColor rgb="FFFFC000"/>
        </patternFill>
      </fill>
    </dxf>
    <dxf>
      <fill>
        <patternFill>
          <bgColor rgb="FFFFFF66"/>
        </patternFill>
      </fill>
    </dxf>
    <dxf>
      <fill>
        <patternFill>
          <bgColor rgb="FF00B050"/>
        </patternFill>
      </fill>
    </dxf>
    <dxf>
      <fill>
        <patternFill>
          <bgColor rgb="FFFFFF66"/>
        </patternFill>
      </fill>
    </dxf>
    <dxf>
      <fill>
        <patternFill>
          <bgColor rgb="FFFFC7CE"/>
        </patternFill>
      </fill>
    </dxf>
    <dxf>
      <fill>
        <patternFill>
          <bgColor rgb="FFFF0000"/>
        </patternFill>
      </fill>
    </dxf>
    <dxf>
      <fill>
        <patternFill>
          <bgColor rgb="FFFFC000"/>
        </patternFill>
      </fill>
    </dxf>
    <dxf>
      <fill>
        <patternFill>
          <bgColor rgb="FFFFFF66"/>
        </patternFill>
      </fill>
    </dxf>
    <dxf>
      <fill>
        <patternFill>
          <bgColor rgb="FF00B050"/>
        </patternFill>
      </fill>
    </dxf>
    <dxf>
      <fill>
        <patternFill>
          <bgColor rgb="FFFFC7CE"/>
        </patternFill>
      </fill>
    </dxf>
    <dxf>
      <fill>
        <patternFill>
          <bgColor rgb="FFFF0000"/>
        </patternFill>
      </fill>
    </dxf>
    <dxf>
      <fill>
        <patternFill>
          <bgColor rgb="FFFFC000"/>
        </patternFill>
      </fill>
    </dxf>
    <dxf>
      <fill>
        <patternFill>
          <bgColor rgb="FFFFFF66"/>
        </patternFill>
      </fill>
    </dxf>
    <dxf>
      <fill>
        <patternFill>
          <bgColor rgb="FF00B050"/>
        </patternFill>
      </fill>
    </dxf>
    <dxf>
      <fill>
        <patternFill>
          <bgColor rgb="FFFFFF66"/>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FFFF66"/>
        </patternFill>
      </fill>
    </dxf>
    <dxf>
      <fill>
        <patternFill>
          <bgColor rgb="FFFFC7CE"/>
        </patternFill>
      </fill>
    </dxf>
    <dxf>
      <fill>
        <patternFill>
          <bgColor rgb="FFFF3300"/>
        </patternFill>
      </fill>
    </dxf>
    <dxf>
      <fill>
        <patternFill>
          <bgColor rgb="FFFFC000"/>
        </patternFill>
      </fill>
    </dxf>
    <dxf>
      <fill>
        <patternFill>
          <bgColor rgb="FFFFFF66"/>
        </patternFill>
      </fill>
    </dxf>
    <dxf>
      <fill>
        <patternFill>
          <bgColor rgb="FF00B050"/>
        </patternFill>
      </fill>
    </dxf>
    <dxf>
      <fill>
        <patternFill>
          <bgColor rgb="FFFFC7CE"/>
        </patternFill>
      </fill>
    </dxf>
    <dxf>
      <fill>
        <patternFill patternType="solid">
          <bgColor rgb="FF00B050"/>
        </patternFill>
      </fill>
    </dxf>
    <dxf>
      <fill>
        <patternFill patternType="solid">
          <bgColor rgb="FFFFFF99"/>
        </patternFill>
      </fill>
    </dxf>
    <dxf>
      <fill>
        <patternFill patternType="solid">
          <bgColor rgb="FFFFC000"/>
        </patternFill>
      </fill>
    </dxf>
    <dxf>
      <fill>
        <patternFill patternType="solid">
          <bgColor rgb="FFFF0000"/>
        </patternFill>
      </fill>
    </dxf>
    <dxf>
      <fill>
        <patternFill patternType="solid">
          <bgColor rgb="FF00B050"/>
        </patternFill>
      </fill>
    </dxf>
    <dxf>
      <fill>
        <patternFill patternType="solid">
          <bgColor rgb="FFFFFF99"/>
        </patternFill>
      </fill>
    </dxf>
    <dxf>
      <fill>
        <patternFill patternType="solid">
          <bgColor rgb="FFFFFF99"/>
        </patternFill>
      </fill>
    </dxf>
    <dxf>
      <fill>
        <patternFill patternType="solid">
          <bgColor rgb="FFFFC000"/>
        </patternFill>
      </fill>
    </dxf>
    <dxf>
      <fill>
        <patternFill patternType="solid">
          <bgColor rgb="FFFF0000"/>
        </patternFill>
      </fill>
    </dxf>
    <dxf>
      <fill>
        <patternFill patternType="solid">
          <bgColor rgb="FF00B050"/>
        </patternFill>
      </fill>
    </dxf>
    <dxf>
      <fill>
        <patternFill patternType="solid">
          <bgColor rgb="FFFFFF66"/>
        </patternFill>
      </fill>
    </dxf>
    <dxf>
      <fill>
        <patternFill patternType="solid">
          <bgColor rgb="FFFFC000"/>
        </patternFill>
      </fill>
    </dxf>
    <dxf>
      <fill>
        <patternFill patternType="solid">
          <bgColor rgb="FFFF0000"/>
        </patternFill>
      </fill>
    </dxf>
    <dxf>
      <fill>
        <patternFill patternType="solid">
          <bgColor rgb="FF00B050"/>
        </patternFill>
      </fill>
    </dxf>
    <dxf>
      <fill>
        <patternFill patternType="solid">
          <bgColor rgb="FFFFFF66"/>
        </patternFill>
      </fill>
    </dxf>
    <dxf>
      <fill>
        <patternFill patternType="solid">
          <bgColor rgb="FFFFFF66"/>
        </patternFill>
      </fill>
    </dxf>
    <dxf>
      <fill>
        <patternFill patternType="solid">
          <bgColor rgb="FFFFC00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FFFF99"/>
        </patternFill>
      </fill>
    </dxf>
    <dxf>
      <fill>
        <patternFill patternType="solid">
          <bgColor rgb="FFFFC000"/>
        </patternFill>
      </fill>
    </dxf>
    <dxf>
      <fill>
        <patternFill patternType="solid">
          <bgColor rgb="FFFF0000"/>
        </patternFill>
      </fill>
    </dxf>
  </dxfs>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6</xdr:col>
      <xdr:colOff>1</xdr:colOff>
      <xdr:row>22</xdr:row>
      <xdr:rowOff>19049</xdr:rowOff>
    </xdr:from>
    <xdr:to>
      <xdr:col>6</xdr:col>
      <xdr:colOff>1</xdr:colOff>
      <xdr:row>30</xdr:row>
      <xdr:rowOff>123825</xdr:rowOff>
    </xdr:to>
    <xdr:grpSp>
      <xdr:nvGrpSpPr>
        <xdr:cNvPr id="5" name="Group 4">
          <a:extLst>
            <a:ext uri="{FF2B5EF4-FFF2-40B4-BE49-F238E27FC236}">
              <a16:creationId xmlns:a16="http://schemas.microsoft.com/office/drawing/2014/main" id="{D74FC7FB-59C1-4ECF-894A-AD10D4D050F0}"/>
            </a:ext>
            <a:ext uri="{147F2762-F138-4A5C-976F-8EAC2B608ADB}">
              <a16:predDERef xmlns:a16="http://schemas.microsoft.com/office/drawing/2014/main" pred="{51E24983-801F-F4AF-A296-F1E99BCDCB3F}"/>
            </a:ext>
          </a:extLst>
        </xdr:cNvPr>
        <xdr:cNvGrpSpPr/>
      </xdr:nvGrpSpPr>
      <xdr:grpSpPr>
        <a:xfrm>
          <a:off x="15297151" y="4695824"/>
          <a:ext cx="0" cy="1876426"/>
          <a:chOff x="10820401" y="4867274"/>
          <a:chExt cx="1504950" cy="1704976"/>
        </a:xfrm>
      </xdr:grpSpPr>
      <xdr:sp macro="" textlink="">
        <xdr:nvSpPr>
          <xdr:cNvPr id="6" name="TextBox 5">
            <a:extLst>
              <a:ext uri="{FF2B5EF4-FFF2-40B4-BE49-F238E27FC236}">
                <a16:creationId xmlns:a16="http://schemas.microsoft.com/office/drawing/2014/main" id="{84D9C5C0-0944-0E01-8D6B-002B38061C15}"/>
              </a:ext>
            </a:extLst>
          </xdr:cNvPr>
          <xdr:cNvSpPr txBox="1"/>
        </xdr:nvSpPr>
        <xdr:spPr>
          <a:xfrm>
            <a:off x="10820401" y="4867274"/>
            <a:ext cx="1504950" cy="17049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endParaRPr lang="en-US" sz="1100"/>
          </a:p>
          <a:p>
            <a:endParaRPr lang="en-US" sz="1100"/>
          </a:p>
          <a:p>
            <a:endParaRPr lang="en-US" sz="1100"/>
          </a:p>
          <a:p>
            <a:endParaRPr lang="en-US" sz="1100"/>
          </a:p>
          <a:p>
            <a:endParaRPr lang="en-US" sz="1100"/>
          </a:p>
          <a:p>
            <a:pPr algn="ctr"/>
            <a:r>
              <a:rPr lang="en-US" sz="1100"/>
              <a:t>Orange</a:t>
            </a:r>
            <a:r>
              <a:rPr lang="en-US" sz="1200"/>
              <a:t>:</a:t>
            </a:r>
            <a:r>
              <a:rPr lang="en-US" sz="1100"/>
              <a:t> </a:t>
            </a:r>
            <a:r>
              <a:rPr lang="en-US" sz="1100" baseline="0"/>
              <a:t>0 to </a:t>
            </a:r>
            <a:r>
              <a:rPr lang="en-US" sz="1100"/>
              <a:t>6</a:t>
            </a:r>
          </a:p>
          <a:p>
            <a:pPr algn="ctr"/>
            <a:r>
              <a:rPr lang="en-US" sz="1050"/>
              <a:t>Weighted</a:t>
            </a:r>
            <a:r>
              <a:rPr lang="en-US" sz="1050" baseline="0"/>
              <a:t> Key Features</a:t>
            </a:r>
            <a:r>
              <a:rPr lang="en-US" sz="1100" baseline="0"/>
              <a:t>	</a:t>
            </a:r>
            <a:endParaRPr lang="en-US" sz="1100"/>
          </a:p>
        </xdr:txBody>
      </xdr:sp>
      <xdr:pic>
        <xdr:nvPicPr>
          <xdr:cNvPr id="7" name="Picture 6">
            <a:extLst>
              <a:ext uri="{FF2B5EF4-FFF2-40B4-BE49-F238E27FC236}">
                <a16:creationId xmlns:a16="http://schemas.microsoft.com/office/drawing/2014/main" id="{65AA07FE-38D4-24F0-F91C-0DB75DF0B2BF}"/>
              </a:ext>
            </a:extLst>
          </xdr:cNvPr>
          <xdr:cNvPicPr>
            <a:picLocks noChangeAspect="1"/>
          </xdr:cNvPicPr>
        </xdr:nvPicPr>
        <xdr:blipFill>
          <a:blip xmlns:r="http://schemas.openxmlformats.org/officeDocument/2006/relationships" r:embed="rId1"/>
          <a:stretch>
            <a:fillRect/>
          </a:stretch>
        </xdr:blipFill>
        <xdr:spPr>
          <a:xfrm>
            <a:off x="10915651" y="5110117"/>
            <a:ext cx="1085850" cy="683876"/>
          </a:xfrm>
          <a:prstGeom prst="rect">
            <a:avLst/>
          </a:prstGeom>
        </xdr:spPr>
      </xdr:pic>
    </xdr:grpSp>
    <xdr:clientData/>
  </xdr:twoCellAnchor>
  <xdr:twoCellAnchor>
    <xdr:from>
      <xdr:col>6</xdr:col>
      <xdr:colOff>1</xdr:colOff>
      <xdr:row>22</xdr:row>
      <xdr:rowOff>0</xdr:rowOff>
    </xdr:from>
    <xdr:to>
      <xdr:col>6</xdr:col>
      <xdr:colOff>1</xdr:colOff>
      <xdr:row>30</xdr:row>
      <xdr:rowOff>114300</xdr:rowOff>
    </xdr:to>
    <xdr:grpSp>
      <xdr:nvGrpSpPr>
        <xdr:cNvPr id="11" name="Group 10">
          <a:extLst>
            <a:ext uri="{FF2B5EF4-FFF2-40B4-BE49-F238E27FC236}">
              <a16:creationId xmlns:a16="http://schemas.microsoft.com/office/drawing/2014/main" id="{D2B3B065-18AD-4792-BC99-4D526F082A96}"/>
            </a:ext>
            <a:ext uri="{147F2762-F138-4A5C-976F-8EAC2B608ADB}">
              <a16:predDERef xmlns:a16="http://schemas.microsoft.com/office/drawing/2014/main" pred="{C845A2C7-A783-08C2-C754-23FF6424EB9B}"/>
            </a:ext>
          </a:extLst>
        </xdr:cNvPr>
        <xdr:cNvGrpSpPr/>
      </xdr:nvGrpSpPr>
      <xdr:grpSpPr>
        <a:xfrm>
          <a:off x="15297151" y="4676775"/>
          <a:ext cx="0" cy="1885950"/>
          <a:chOff x="14344651" y="4838700"/>
          <a:chExt cx="1581150" cy="1714500"/>
        </a:xfrm>
      </xdr:grpSpPr>
      <xdr:sp macro="" textlink="">
        <xdr:nvSpPr>
          <xdr:cNvPr id="12" name="TextBox 11">
            <a:extLst>
              <a:ext uri="{FF2B5EF4-FFF2-40B4-BE49-F238E27FC236}">
                <a16:creationId xmlns:a16="http://schemas.microsoft.com/office/drawing/2014/main" id="{9B8635C2-B7B3-5A59-0BCA-57E099D0AAD6}"/>
              </a:ext>
            </a:extLst>
          </xdr:cNvPr>
          <xdr:cNvSpPr txBox="1"/>
        </xdr:nvSpPr>
        <xdr:spPr>
          <a:xfrm>
            <a:off x="14344651" y="4838700"/>
            <a:ext cx="1581150" cy="1714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endParaRPr lang="en-US" sz="1100"/>
          </a:p>
          <a:p>
            <a:endParaRPr lang="en-US" sz="1100"/>
          </a:p>
          <a:p>
            <a:endParaRPr lang="en-US" sz="1100"/>
          </a:p>
          <a:p>
            <a:endParaRPr lang="en-US" sz="1100"/>
          </a:p>
          <a:p>
            <a:endParaRPr lang="en-US" sz="1100"/>
          </a:p>
          <a:p>
            <a:pPr algn="ctr"/>
            <a:r>
              <a:rPr lang="en-US" sz="1100"/>
              <a:t>Green: -12 to -6</a:t>
            </a:r>
          </a:p>
          <a:p>
            <a:pPr algn="ctr"/>
            <a:r>
              <a:rPr lang="en-US" sz="1050"/>
              <a:t>Weighted Key Features</a:t>
            </a:r>
          </a:p>
        </xdr:txBody>
      </xdr:sp>
      <xdr:pic>
        <xdr:nvPicPr>
          <xdr:cNvPr id="13" name="Picture 12">
            <a:extLst>
              <a:ext uri="{FF2B5EF4-FFF2-40B4-BE49-F238E27FC236}">
                <a16:creationId xmlns:a16="http://schemas.microsoft.com/office/drawing/2014/main" id="{829E4145-467B-6910-376C-D55EC63D920A}"/>
              </a:ext>
            </a:extLst>
          </xdr:cNvPr>
          <xdr:cNvPicPr>
            <a:picLocks noChangeAspect="1"/>
          </xdr:cNvPicPr>
        </xdr:nvPicPr>
        <xdr:blipFill>
          <a:blip xmlns:r="http://schemas.openxmlformats.org/officeDocument/2006/relationships" r:embed="rId2"/>
          <a:stretch>
            <a:fillRect/>
          </a:stretch>
        </xdr:blipFill>
        <xdr:spPr>
          <a:xfrm>
            <a:off x="14601825" y="5197157"/>
            <a:ext cx="962025" cy="602869"/>
          </a:xfrm>
          <a:prstGeom prst="rect">
            <a:avLst/>
          </a:prstGeom>
        </xdr:spPr>
      </xdr:pic>
    </xdr:grpSp>
    <xdr:clientData/>
  </xdr:twoCellAnchor>
  <xdr:twoCellAnchor editAs="oneCell">
    <xdr:from>
      <xdr:col>5</xdr:col>
      <xdr:colOff>428625</xdr:colOff>
      <xdr:row>7</xdr:row>
      <xdr:rowOff>1628775</xdr:rowOff>
    </xdr:from>
    <xdr:to>
      <xdr:col>7</xdr:col>
      <xdr:colOff>580209</xdr:colOff>
      <xdr:row>16</xdr:row>
      <xdr:rowOff>123583</xdr:rowOff>
    </xdr:to>
    <xdr:pic>
      <xdr:nvPicPr>
        <xdr:cNvPr id="14" name="Picture 13">
          <a:extLst>
            <a:ext uri="{FF2B5EF4-FFF2-40B4-BE49-F238E27FC236}">
              <a16:creationId xmlns:a16="http://schemas.microsoft.com/office/drawing/2014/main" id="{9BF26BA5-7A74-44D1-003C-B9378EF32E9B}"/>
            </a:ext>
          </a:extLst>
        </xdr:cNvPr>
        <xdr:cNvPicPr>
          <a:picLocks noChangeAspect="1"/>
        </xdr:cNvPicPr>
      </xdr:nvPicPr>
      <xdr:blipFill>
        <a:blip xmlns:r="http://schemas.openxmlformats.org/officeDocument/2006/relationships" r:embed="rId3"/>
        <a:stretch>
          <a:fillRect/>
        </a:stretch>
      </xdr:blipFill>
      <xdr:spPr>
        <a:xfrm>
          <a:off x="9963150" y="3028950"/>
          <a:ext cx="6523809" cy="193333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447675</xdr:colOff>
      <xdr:row>9</xdr:row>
      <xdr:rowOff>9525</xdr:rowOff>
    </xdr:from>
    <xdr:to>
      <xdr:col>17</xdr:col>
      <xdr:colOff>8665</xdr:colOff>
      <xdr:row>16</xdr:row>
      <xdr:rowOff>199795</xdr:rowOff>
    </xdr:to>
    <xdr:pic>
      <xdr:nvPicPr>
        <xdr:cNvPr id="13" name="Picture 12">
          <a:extLst>
            <a:ext uri="{FF2B5EF4-FFF2-40B4-BE49-F238E27FC236}">
              <a16:creationId xmlns:a16="http://schemas.microsoft.com/office/drawing/2014/main" id="{BAF0B808-06CA-DE53-58BD-F582B5865E74}"/>
            </a:ext>
          </a:extLst>
        </xdr:cNvPr>
        <xdr:cNvPicPr>
          <a:picLocks noChangeAspect="1"/>
        </xdr:cNvPicPr>
      </xdr:nvPicPr>
      <xdr:blipFill>
        <a:blip xmlns:r="http://schemas.openxmlformats.org/officeDocument/2006/relationships" r:embed="rId1"/>
        <a:stretch>
          <a:fillRect/>
        </a:stretch>
      </xdr:blipFill>
      <xdr:spPr>
        <a:xfrm>
          <a:off x="10210800" y="2724150"/>
          <a:ext cx="6876190" cy="183809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276225</xdr:colOff>
      <xdr:row>8</xdr:row>
      <xdr:rowOff>542925</xdr:rowOff>
    </xdr:from>
    <xdr:to>
      <xdr:col>16</xdr:col>
      <xdr:colOff>523006</xdr:colOff>
      <xdr:row>17</xdr:row>
      <xdr:rowOff>104532</xdr:rowOff>
    </xdr:to>
    <xdr:pic>
      <xdr:nvPicPr>
        <xdr:cNvPr id="10" name="Picture 9">
          <a:extLst>
            <a:ext uri="{FF2B5EF4-FFF2-40B4-BE49-F238E27FC236}">
              <a16:creationId xmlns:a16="http://schemas.microsoft.com/office/drawing/2014/main" id="{EB3DA06C-914C-E92C-DEBE-2F595D505D93}"/>
            </a:ext>
          </a:extLst>
        </xdr:cNvPr>
        <xdr:cNvPicPr>
          <a:picLocks noChangeAspect="1"/>
        </xdr:cNvPicPr>
      </xdr:nvPicPr>
      <xdr:blipFill>
        <a:blip xmlns:r="http://schemas.openxmlformats.org/officeDocument/2006/relationships" r:embed="rId1"/>
        <a:stretch>
          <a:fillRect/>
        </a:stretch>
      </xdr:blipFill>
      <xdr:spPr>
        <a:xfrm>
          <a:off x="10582275" y="1533525"/>
          <a:ext cx="6952381" cy="194285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200025</xdr:colOff>
      <xdr:row>7</xdr:row>
      <xdr:rowOff>409575</xdr:rowOff>
    </xdr:from>
    <xdr:to>
      <xdr:col>16</xdr:col>
      <xdr:colOff>189739</xdr:colOff>
      <xdr:row>16</xdr:row>
      <xdr:rowOff>28343</xdr:rowOff>
    </xdr:to>
    <xdr:pic>
      <xdr:nvPicPr>
        <xdr:cNvPr id="10" name="Picture 9">
          <a:extLst>
            <a:ext uri="{FF2B5EF4-FFF2-40B4-BE49-F238E27FC236}">
              <a16:creationId xmlns:a16="http://schemas.microsoft.com/office/drawing/2014/main" id="{7C4CB801-6A4A-2FB5-3E4E-16CB61010768}"/>
            </a:ext>
          </a:extLst>
        </xdr:cNvPr>
        <xdr:cNvPicPr>
          <a:picLocks noChangeAspect="1"/>
        </xdr:cNvPicPr>
      </xdr:nvPicPr>
      <xdr:blipFill>
        <a:blip xmlns:r="http://schemas.openxmlformats.org/officeDocument/2006/relationships" r:embed="rId1"/>
        <a:stretch>
          <a:fillRect/>
        </a:stretch>
      </xdr:blipFill>
      <xdr:spPr>
        <a:xfrm>
          <a:off x="8515350" y="1790700"/>
          <a:ext cx="6085714" cy="185714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238125</xdr:colOff>
      <xdr:row>7</xdr:row>
      <xdr:rowOff>971550</xdr:rowOff>
    </xdr:from>
    <xdr:to>
      <xdr:col>17</xdr:col>
      <xdr:colOff>503953</xdr:colOff>
      <xdr:row>16</xdr:row>
      <xdr:rowOff>75969</xdr:rowOff>
    </xdr:to>
    <xdr:pic>
      <xdr:nvPicPr>
        <xdr:cNvPr id="10" name="Picture 9">
          <a:extLst>
            <a:ext uri="{FF2B5EF4-FFF2-40B4-BE49-F238E27FC236}">
              <a16:creationId xmlns:a16="http://schemas.microsoft.com/office/drawing/2014/main" id="{198E3FC3-E26C-A3D8-DCEA-28A2766D4EB6}"/>
            </a:ext>
          </a:extLst>
        </xdr:cNvPr>
        <xdr:cNvPicPr>
          <a:picLocks noChangeAspect="1"/>
        </xdr:cNvPicPr>
      </xdr:nvPicPr>
      <xdr:blipFill>
        <a:blip xmlns:r="http://schemas.openxmlformats.org/officeDocument/2006/relationships" r:embed="rId1"/>
        <a:stretch>
          <a:fillRect/>
        </a:stretch>
      </xdr:blipFill>
      <xdr:spPr>
        <a:xfrm>
          <a:off x="9448800" y="2352675"/>
          <a:ext cx="6971428" cy="184761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D0792-1157-4147-8D78-DFB25B89FB39}">
  <dimension ref="A1:F24"/>
  <sheetViews>
    <sheetView tabSelected="1" workbookViewId="0">
      <selection activeCell="D25" sqref="D25"/>
    </sheetView>
  </sheetViews>
  <sheetFormatPr defaultRowHeight="15" x14ac:dyDescent="0.25"/>
  <cols>
    <col min="1" max="1" width="46.7109375" customWidth="1"/>
    <col min="2" max="2" width="16" customWidth="1"/>
    <col min="3" max="3" width="15.7109375" customWidth="1"/>
    <col min="4" max="4" width="21.5703125" customWidth="1"/>
    <col min="5" max="5" width="14.85546875" customWidth="1"/>
    <col min="6" max="6" width="13.140625" customWidth="1"/>
  </cols>
  <sheetData>
    <row r="1" spans="1:6" x14ac:dyDescent="0.25">
      <c r="A1" s="156" t="s">
        <v>137</v>
      </c>
      <c r="B1" s="157" t="s">
        <v>123</v>
      </c>
      <c r="C1" s="157" t="s">
        <v>138</v>
      </c>
      <c r="D1" s="158" t="s">
        <v>139</v>
      </c>
    </row>
    <row r="2" spans="1:6" x14ac:dyDescent="0.25">
      <c r="A2" s="159" t="s">
        <v>140</v>
      </c>
      <c r="B2" s="155" t="s">
        <v>141</v>
      </c>
      <c r="C2" s="155" t="s">
        <v>142</v>
      </c>
      <c r="D2" s="160" t="s">
        <v>143</v>
      </c>
    </row>
    <row r="3" spans="1:6" ht="15.75" thickBot="1" x14ac:dyDescent="0.3">
      <c r="A3" s="154" t="s">
        <v>144</v>
      </c>
      <c r="B3" s="199" t="s">
        <v>145</v>
      </c>
      <c r="C3" s="199"/>
      <c r="D3" s="200"/>
    </row>
    <row r="5" spans="1:6" ht="15.75" thickBot="1" x14ac:dyDescent="0.3">
      <c r="B5" s="201" t="s">
        <v>121</v>
      </c>
      <c r="C5" s="201"/>
      <c r="D5" s="201"/>
      <c r="E5" s="201"/>
      <c r="F5" s="201"/>
    </row>
    <row r="6" spans="1:6" ht="15.75" thickBot="1" x14ac:dyDescent="0.3">
      <c r="A6" s="130"/>
      <c r="B6" s="131" t="s">
        <v>95</v>
      </c>
      <c r="C6" s="132" t="s">
        <v>86</v>
      </c>
      <c r="D6" s="132" t="s">
        <v>122</v>
      </c>
      <c r="E6" s="132" t="s">
        <v>69</v>
      </c>
      <c r="F6" s="133" t="s">
        <v>123</v>
      </c>
    </row>
    <row r="7" spans="1:6" x14ac:dyDescent="0.25">
      <c r="A7" s="134" t="s">
        <v>124</v>
      </c>
      <c r="B7" s="135">
        <f>Cardiac!E38</f>
        <v>-7</v>
      </c>
      <c r="C7" s="136">
        <f>GERD!E26</f>
        <v>-3</v>
      </c>
      <c r="D7" s="136">
        <f>'Esophageal Dysphagia'!E25</f>
        <v>14</v>
      </c>
      <c r="E7" s="136">
        <f>RA!E23</f>
        <v>5</v>
      </c>
      <c r="F7" s="137">
        <f>CREST!E26</f>
        <v>24</v>
      </c>
    </row>
    <row r="8" spans="1:6" x14ac:dyDescent="0.25">
      <c r="A8" s="138" t="s">
        <v>125</v>
      </c>
      <c r="B8" s="139" cm="1">
        <f t="array" ref="B8">_xlfn.IFS(Cardiac!C42&lt;0,0,Cardiac!C42&gt;100,100,AND(Cardiac!C42&gt;0,Cardiac!C42&lt;100),Cardiac!C42)</f>
        <v>30</v>
      </c>
      <c r="C8" s="140" cm="1">
        <f t="array" ref="C8">_xlfn.IFS(GERD!C30&lt;0,0,GERD!C30&gt;100,100,AND(GERD!C30&gt;0,GERD!C30&lt;100),GERD!C30)</f>
        <v>50</v>
      </c>
      <c r="D8" s="140" cm="1">
        <f t="array" ref="D8">_xlfn.IFS('Esophageal Dysphagia'!C29&lt;0,0,'Esophageal Dysphagia'!C29&gt;100,100,AND('Esophageal Dysphagia'!C29&gt;0,'Esophageal Dysphagia'!C29&lt;100),'Esophageal Dysphagia'!C29)</f>
        <v>90</v>
      </c>
      <c r="E8" s="140" cm="1">
        <f t="array" ref="E8">_xlfn.IFS(RA!C27&lt;0,0,RA!C27&gt;100,100,AND(RA!C27&gt;0,RA!C27&lt;100),RA!C27)</f>
        <v>30</v>
      </c>
      <c r="F8" s="141" cm="1">
        <f t="array" ref="F8">_xlfn.IFS(CREST!C30&lt;0,0,CREST!C30&gt;100,100,AND(CREST!C30&gt;0,CREST!C30&lt;100),CREST!C30)</f>
        <v>90</v>
      </c>
    </row>
    <row r="9" spans="1:6" ht="15.75" thickBot="1" x14ac:dyDescent="0.3">
      <c r="A9" s="138" t="s">
        <v>126</v>
      </c>
      <c r="B9" s="142" t="s">
        <v>63</v>
      </c>
      <c r="C9" s="143" t="s">
        <v>85</v>
      </c>
      <c r="D9" s="143" t="s">
        <v>65</v>
      </c>
      <c r="E9" s="143" t="s">
        <v>76</v>
      </c>
      <c r="F9" s="144" t="s">
        <v>65</v>
      </c>
    </row>
    <row r="10" spans="1:6" ht="15.75" thickBot="1" x14ac:dyDescent="0.3">
      <c r="A10" s="138" t="s">
        <v>127</v>
      </c>
      <c r="B10" s="145">
        <f>COUNTIF(Cardiac!A8:A31,"Y")/COUNTA(Cardiac!A8:A31)</f>
        <v>0.2608695652173913</v>
      </c>
      <c r="C10" s="152">
        <f>COUNTIF(GERD!A8:A19,"Y")/COUNTA(GERD!A8:A19)</f>
        <v>0.18181818181818182</v>
      </c>
      <c r="D10" s="152">
        <f>COUNTIF('Esophageal Dysphagia'!A8:A17,"Y")/COUNTA('Esophageal Dysphagia'!A8:A17)</f>
        <v>0.33333333333333331</v>
      </c>
      <c r="E10" s="152">
        <f>COUNTIF(RA!A8:A15,"Y")/COUNTA(RA!A8:A15)</f>
        <v>0.2857142857142857</v>
      </c>
      <c r="F10" s="146">
        <f>COUNTIF(CREST!A8:A18,"Y")/COUNTA(CREST!A8:A18)</f>
        <v>0.6</v>
      </c>
    </row>
    <row r="11" spans="1:6" x14ac:dyDescent="0.25">
      <c r="A11" s="138" t="s">
        <v>128</v>
      </c>
      <c r="B11" s="202">
        <f>SUM(COUNTIF(Cardiac!A8:A31,"Y"),COUNTIF(GERD!A8:A19,"Y"),COUNTIF('Esophageal Dysphagia'!A8:A17,"Y"),COUNTIF(RA!A8:A15,"Y"),COUNTIF(CREST!A18,"Y"))/SUM(COUNTA(Cardiac!A8:A31),COUNTA(GERD!A8:A19),COUNTA('Esophageal Dysphagia'!A8:A17),COUNTA(RA!A8:A15),COUNTA(CREST!A8:A18))</f>
        <v>0.21666666666666667</v>
      </c>
      <c r="C11" s="203"/>
      <c r="D11" s="203"/>
      <c r="E11" s="203"/>
      <c r="F11" s="204"/>
    </row>
    <row r="12" spans="1:6" x14ac:dyDescent="0.25">
      <c r="A12" s="138" t="s">
        <v>160</v>
      </c>
      <c r="B12" s="210">
        <v>9</v>
      </c>
      <c r="C12" s="211"/>
      <c r="D12" s="211"/>
      <c r="E12" s="211"/>
      <c r="F12" s="212"/>
    </row>
    <row r="13" spans="1:6" ht="15.75" thickBot="1" x14ac:dyDescent="0.3">
      <c r="A13" s="138" t="s">
        <v>161</v>
      </c>
      <c r="B13" s="196">
        <f>B12/B17</f>
        <v>0.5</v>
      </c>
      <c r="C13" s="197"/>
      <c r="D13" s="197"/>
      <c r="E13" s="197"/>
      <c r="F13" s="198"/>
    </row>
    <row r="14" spans="1:6" x14ac:dyDescent="0.25">
      <c r="A14" s="181" t="s">
        <v>159</v>
      </c>
      <c r="B14" s="182"/>
      <c r="C14" s="183"/>
      <c r="D14" s="183"/>
      <c r="E14" s="183"/>
      <c r="F14" s="184"/>
    </row>
    <row r="15" spans="1:6" x14ac:dyDescent="0.25">
      <c r="A15" s="147" t="s">
        <v>157</v>
      </c>
      <c r="B15" s="207"/>
      <c r="C15" s="208"/>
      <c r="D15" s="208"/>
      <c r="E15" s="208"/>
      <c r="F15" s="209"/>
    </row>
    <row r="16" spans="1:6" ht="15.75" thickBot="1" x14ac:dyDescent="0.3">
      <c r="A16" s="185" t="s">
        <v>158</v>
      </c>
      <c r="B16" s="186"/>
      <c r="C16" s="187"/>
      <c r="D16" s="187"/>
      <c r="E16" s="187"/>
      <c r="F16" s="188"/>
    </row>
    <row r="17" spans="1:6" ht="15.75" thickBot="1" x14ac:dyDescent="0.3">
      <c r="A17" s="153" t="s">
        <v>136</v>
      </c>
      <c r="B17" s="193">
        <v>18</v>
      </c>
      <c r="C17" s="194"/>
      <c r="D17" s="194"/>
      <c r="E17" s="194"/>
      <c r="F17" s="195"/>
    </row>
    <row r="18" spans="1:6" ht="15.75" thickBot="1" x14ac:dyDescent="0.3">
      <c r="A18" s="153" t="s">
        <v>129</v>
      </c>
      <c r="B18" s="194">
        <f>B15/B17</f>
        <v>0</v>
      </c>
      <c r="C18" s="194"/>
      <c r="D18" s="194"/>
      <c r="E18" s="194"/>
      <c r="F18" s="195"/>
    </row>
    <row r="19" spans="1:6" ht="15.75" thickBot="1" x14ac:dyDescent="0.3">
      <c r="A19" s="153" t="s">
        <v>130</v>
      </c>
      <c r="B19" s="205"/>
      <c r="C19" s="205"/>
      <c r="D19" s="205"/>
      <c r="E19" s="205"/>
      <c r="F19" s="206"/>
    </row>
    <row r="20" spans="1:6" ht="15.75" thickBot="1" x14ac:dyDescent="0.3">
      <c r="A20" s="179" t="s">
        <v>131</v>
      </c>
      <c r="B20" s="190">
        <f>'PR score'!A18</f>
        <v>10</v>
      </c>
      <c r="C20" s="191"/>
      <c r="D20" s="191"/>
      <c r="E20" s="191"/>
      <c r="F20" s="192"/>
    </row>
    <row r="21" spans="1:6" x14ac:dyDescent="0.25">
      <c r="A21" s="178"/>
      <c r="B21" s="180"/>
      <c r="C21" s="175"/>
    </row>
    <row r="22" spans="1:6" x14ac:dyDescent="0.25">
      <c r="A22" s="172"/>
      <c r="B22" s="174"/>
      <c r="C22" s="175"/>
    </row>
    <row r="23" spans="1:6" x14ac:dyDescent="0.25">
      <c r="A23" s="176"/>
      <c r="B23" s="177"/>
    </row>
    <row r="24" spans="1:6" x14ac:dyDescent="0.25">
      <c r="A24" s="173"/>
    </row>
  </sheetData>
  <mergeCells count="10">
    <mergeCell ref="B20:F20"/>
    <mergeCell ref="B17:F17"/>
    <mergeCell ref="B13:F13"/>
    <mergeCell ref="B3:D3"/>
    <mergeCell ref="B5:F5"/>
    <mergeCell ref="B11:F11"/>
    <mergeCell ref="B18:F18"/>
    <mergeCell ref="B19:F19"/>
    <mergeCell ref="B15:F15"/>
    <mergeCell ref="B12:F12"/>
  </mergeCells>
  <conditionalFormatting sqref="B7">
    <cfRule type="cellIs" dxfId="55" priority="21" operator="greaterThan">
      <formula>6</formula>
    </cfRule>
    <cfRule type="cellIs" dxfId="54" priority="22" operator="between">
      <formula>0</formula>
      <formula>6</formula>
    </cfRule>
    <cfRule type="cellIs" dxfId="53" priority="23" operator="between">
      <formula>0</formula>
      <formula>-6</formula>
    </cfRule>
    <cfRule type="cellIs" dxfId="52" priority="24" operator="between">
      <formula>-6</formula>
      <formula>-20</formula>
    </cfRule>
  </conditionalFormatting>
  <conditionalFormatting sqref="C7">
    <cfRule type="cellIs" dxfId="51" priority="14" operator="between">
      <formula>7</formula>
      <formula>12</formula>
    </cfRule>
    <cfRule type="cellIs" dxfId="50" priority="15" operator="between">
      <formula>-7</formula>
      <formula>-11</formula>
    </cfRule>
    <cfRule type="cellIs" dxfId="49" priority="16" operator="between">
      <formula>5</formula>
      <formula>6</formula>
    </cfRule>
    <cfRule type="cellIs" dxfId="48" priority="17" operator="between">
      <formula>-5</formula>
      <formula>-6</formula>
    </cfRule>
    <cfRule type="cellIs" dxfId="47" priority="18" operator="between">
      <formula>3</formula>
      <formula>4</formula>
    </cfRule>
    <cfRule type="cellIs" dxfId="46" priority="19" operator="between">
      <formula>-3</formula>
      <formula>-4</formula>
    </cfRule>
    <cfRule type="cellIs" dxfId="45" priority="20" operator="between">
      <formula>-2</formula>
      <formula>2</formula>
    </cfRule>
  </conditionalFormatting>
  <conditionalFormatting sqref="D7">
    <cfRule type="cellIs" dxfId="44" priority="10" operator="lessThanOrEqual">
      <formula>6</formula>
    </cfRule>
    <cfRule type="cellIs" dxfId="43" priority="11" operator="between">
      <formula>7</formula>
      <formula>11</formula>
    </cfRule>
    <cfRule type="cellIs" dxfId="42" priority="12" operator="between">
      <formula>12</formula>
      <formula>16</formula>
    </cfRule>
    <cfRule type="cellIs" dxfId="41" priority="13" operator="between">
      <formula>17</formula>
      <formula>22</formula>
    </cfRule>
  </conditionalFormatting>
  <conditionalFormatting sqref="E7">
    <cfRule type="cellIs" dxfId="40" priority="5" operator="lessThan">
      <formula>1</formula>
    </cfRule>
    <cfRule type="cellIs" dxfId="39" priority="6" operator="between">
      <formula>2</formula>
      <formula>3</formula>
    </cfRule>
    <cfRule type="cellIs" dxfId="38" priority="7" operator="between">
      <formula>7</formula>
      <formula>10</formula>
    </cfRule>
    <cfRule type="cellIs" dxfId="37" priority="8" operator="equal">
      <formula>4</formula>
    </cfRule>
    <cfRule type="cellIs" dxfId="36" priority="9" operator="between">
      <formula>5</formula>
      <formula>6</formula>
    </cfRule>
  </conditionalFormatting>
  <conditionalFormatting sqref="F7">
    <cfRule type="cellIs" dxfId="35" priority="1" operator="lessThan">
      <formula>11</formula>
    </cfRule>
    <cfRule type="cellIs" dxfId="34" priority="2" operator="between">
      <formula>12</formula>
      <formula>17</formula>
    </cfRule>
    <cfRule type="cellIs" dxfId="33" priority="3" operator="between">
      <formula>18</formula>
      <formula>25</formula>
    </cfRule>
    <cfRule type="cellIs" dxfId="32" priority="4" operator="between">
      <formula>26</formula>
      <formula>30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148CE-7610-49D3-89E2-AFFB25D3DCC5}">
  <dimension ref="A1:F44"/>
  <sheetViews>
    <sheetView topLeftCell="A3" workbookViewId="0">
      <selection activeCell="B31" sqref="B31"/>
    </sheetView>
  </sheetViews>
  <sheetFormatPr defaultRowHeight="15" x14ac:dyDescent="0.25"/>
  <cols>
    <col min="2" max="2" width="95.85546875" customWidth="1"/>
    <col min="3" max="3" width="13.7109375" customWidth="1"/>
    <col min="4" max="4" width="15.140625" customWidth="1"/>
    <col min="6" max="6" width="86.42578125" customWidth="1"/>
  </cols>
  <sheetData>
    <row r="1" spans="1:6" ht="15.75" x14ac:dyDescent="0.25">
      <c r="A1" s="3"/>
      <c r="B1" s="4" t="s">
        <v>31</v>
      </c>
      <c r="C1" s="5"/>
      <c r="D1" s="5"/>
      <c r="E1" s="216"/>
      <c r="F1" s="216"/>
    </row>
    <row r="2" spans="1:6" ht="15.75" x14ac:dyDescent="0.25">
      <c r="A2" s="3"/>
      <c r="B2" s="6"/>
      <c r="C2" s="5"/>
      <c r="D2" s="5"/>
      <c r="E2" s="216"/>
      <c r="F2" s="216"/>
    </row>
    <row r="3" spans="1:6" x14ac:dyDescent="0.25">
      <c r="A3" s="3"/>
      <c r="B3" s="7" t="s">
        <v>32</v>
      </c>
      <c r="C3" s="10"/>
      <c r="D3" s="10"/>
      <c r="E3" s="8" t="s">
        <v>33</v>
      </c>
      <c r="F3" s="8"/>
    </row>
    <row r="4" spans="1:6" x14ac:dyDescent="0.25">
      <c r="A4" s="3"/>
      <c r="B4" s="9" t="s">
        <v>34</v>
      </c>
      <c r="C4" s="10"/>
      <c r="D4" s="10"/>
      <c r="E4" s="217"/>
      <c r="F4" s="217"/>
    </row>
    <row r="5" spans="1:6" ht="15.75" x14ac:dyDescent="0.25">
      <c r="A5" s="3"/>
      <c r="B5" s="6"/>
      <c r="C5" s="5"/>
      <c r="D5" s="5"/>
      <c r="E5" s="216"/>
      <c r="F5" s="216"/>
    </row>
    <row r="6" spans="1:6" ht="16.5" thickBot="1" x14ac:dyDescent="0.3">
      <c r="A6" s="97"/>
      <c r="B6" s="6"/>
      <c r="C6" s="5"/>
      <c r="D6" s="5"/>
      <c r="E6" s="216"/>
      <c r="F6" s="216"/>
    </row>
    <row r="7" spans="1:6" ht="16.5" thickBot="1" x14ac:dyDescent="0.3">
      <c r="A7" s="11" t="s">
        <v>35</v>
      </c>
      <c r="B7" s="98" t="s">
        <v>95</v>
      </c>
      <c r="C7" s="99" t="s">
        <v>37</v>
      </c>
      <c r="D7" s="99" t="s">
        <v>38</v>
      </c>
      <c r="E7" s="99" t="s">
        <v>39</v>
      </c>
      <c r="F7" s="15"/>
    </row>
    <row r="8" spans="1:6" ht="21" customHeight="1" thickBot="1" x14ac:dyDescent="0.3">
      <c r="A8" s="16" t="s">
        <v>96</v>
      </c>
      <c r="B8" s="100" t="s">
        <v>97</v>
      </c>
      <c r="C8" s="101" t="s">
        <v>53</v>
      </c>
      <c r="D8" s="101" t="s">
        <v>42</v>
      </c>
      <c r="E8" s="102">
        <v>0.8</v>
      </c>
      <c r="F8" s="20" t="s">
        <v>98</v>
      </c>
    </row>
    <row r="9" spans="1:6" ht="15.75" thickBot="1" x14ac:dyDescent="0.3">
      <c r="A9" s="23" t="s">
        <v>99</v>
      </c>
      <c r="B9" s="213" t="s">
        <v>100</v>
      </c>
      <c r="C9" s="27" t="s">
        <v>53</v>
      </c>
      <c r="D9" s="103" t="s">
        <v>46</v>
      </c>
      <c r="E9" s="104">
        <v>0.97</v>
      </c>
      <c r="F9" s="215"/>
    </row>
    <row r="10" spans="1:6" ht="15.75" thickBot="1" x14ac:dyDescent="0.3">
      <c r="A10" s="105" t="s">
        <v>99</v>
      </c>
      <c r="B10" s="214"/>
      <c r="C10" s="56" t="s">
        <v>53</v>
      </c>
      <c r="D10" s="106" t="s">
        <v>46</v>
      </c>
      <c r="E10" s="29">
        <v>0.97</v>
      </c>
      <c r="F10" s="215"/>
    </row>
    <row r="11" spans="1:6" ht="18.75" customHeight="1" thickBot="1" x14ac:dyDescent="0.3">
      <c r="A11" s="23" t="s">
        <v>99</v>
      </c>
      <c r="B11" s="107" t="s">
        <v>101</v>
      </c>
      <c r="C11" s="108" t="s">
        <v>53</v>
      </c>
      <c r="D11" s="27" t="s">
        <v>46</v>
      </c>
      <c r="E11" s="27">
        <v>0.96</v>
      </c>
      <c r="F11" s="20"/>
    </row>
    <row r="12" spans="1:6" ht="15.75" customHeight="1" thickBot="1" x14ac:dyDescent="0.3">
      <c r="A12" s="23" t="s">
        <v>96</v>
      </c>
      <c r="B12" s="109" t="s">
        <v>52</v>
      </c>
      <c r="C12" s="27" t="s">
        <v>53</v>
      </c>
      <c r="D12" s="27" t="s">
        <v>46</v>
      </c>
      <c r="E12" s="27">
        <v>0.89</v>
      </c>
      <c r="F12" s="2"/>
    </row>
    <row r="13" spans="1:6" ht="15.75" thickBot="1" x14ac:dyDescent="0.3">
      <c r="A13" s="23" t="s">
        <v>96</v>
      </c>
      <c r="B13" s="110" t="s">
        <v>102</v>
      </c>
      <c r="C13" s="27" t="s">
        <v>53</v>
      </c>
      <c r="D13" s="27" t="s">
        <v>46</v>
      </c>
      <c r="E13" s="89">
        <v>0.9</v>
      </c>
      <c r="F13" s="2"/>
    </row>
    <row r="14" spans="1:6" ht="20.25" customHeight="1" thickBot="1" x14ac:dyDescent="0.3">
      <c r="A14" s="23" t="s">
        <v>96</v>
      </c>
      <c r="B14" s="109" t="s">
        <v>103</v>
      </c>
      <c r="C14" s="102" t="s">
        <v>53</v>
      </c>
      <c r="D14" s="102" t="s">
        <v>42</v>
      </c>
      <c r="E14" s="22">
        <v>0.3</v>
      </c>
      <c r="F14" s="2"/>
    </row>
    <row r="15" spans="1:6" ht="21.75" customHeight="1" thickBot="1" x14ac:dyDescent="0.3">
      <c r="A15" s="3" t="s">
        <v>99</v>
      </c>
      <c r="B15" s="107" t="s">
        <v>104</v>
      </c>
      <c r="C15" s="102" t="s">
        <v>53</v>
      </c>
      <c r="D15" s="102" t="s">
        <v>42</v>
      </c>
      <c r="E15" s="28">
        <v>0.8</v>
      </c>
      <c r="F15" s="49" t="s">
        <v>105</v>
      </c>
    </row>
    <row r="16" spans="1:6" ht="18.75" customHeight="1" thickBot="1" x14ac:dyDescent="0.3">
      <c r="A16" s="23" t="s">
        <v>99</v>
      </c>
      <c r="B16" s="107" t="s">
        <v>106</v>
      </c>
      <c r="C16" s="102" t="s">
        <v>53</v>
      </c>
      <c r="D16" s="102" t="s">
        <v>42</v>
      </c>
      <c r="E16" s="28">
        <v>0.8</v>
      </c>
      <c r="F16" s="2"/>
    </row>
    <row r="17" spans="1:6" ht="15.75" thickBot="1" x14ac:dyDescent="0.3">
      <c r="A17" s="23" t="s">
        <v>96</v>
      </c>
      <c r="B17" s="110" t="s">
        <v>107</v>
      </c>
      <c r="C17" s="22" t="s">
        <v>53</v>
      </c>
      <c r="D17" s="22" t="s">
        <v>42</v>
      </c>
      <c r="E17" s="111">
        <v>0.75</v>
      </c>
      <c r="F17" s="2"/>
    </row>
    <row r="18" spans="1:6" ht="15.75" thickBot="1" x14ac:dyDescent="0.3">
      <c r="A18" s="23" t="s">
        <v>96</v>
      </c>
      <c r="B18" s="110" t="s">
        <v>108</v>
      </c>
      <c r="C18" s="27" t="s">
        <v>53</v>
      </c>
      <c r="D18" s="27" t="s">
        <v>46</v>
      </c>
      <c r="E18" s="89">
        <v>0.96</v>
      </c>
      <c r="F18" s="2"/>
    </row>
    <row r="19" spans="1:6" ht="15.75" thickBot="1" x14ac:dyDescent="0.3">
      <c r="A19" s="23" t="s">
        <v>96</v>
      </c>
      <c r="B19" s="110" t="s">
        <v>109</v>
      </c>
      <c r="C19" s="27" t="s">
        <v>53</v>
      </c>
      <c r="D19" s="27" t="s">
        <v>46</v>
      </c>
      <c r="E19" s="89">
        <v>0.85</v>
      </c>
      <c r="F19" s="2"/>
    </row>
    <row r="20" spans="1:6" ht="15.75" thickBot="1" x14ac:dyDescent="0.3">
      <c r="A20" s="23" t="s">
        <v>96</v>
      </c>
      <c r="B20" s="110" t="s">
        <v>110</v>
      </c>
      <c r="C20" s="27" t="s">
        <v>53</v>
      </c>
      <c r="D20" s="27" t="s">
        <v>46</v>
      </c>
      <c r="E20" s="89">
        <v>0.88</v>
      </c>
      <c r="F20" s="2"/>
    </row>
    <row r="21" spans="1:6" ht="15.75" thickBot="1" x14ac:dyDescent="0.3">
      <c r="A21" s="23" t="s">
        <v>96</v>
      </c>
      <c r="B21" s="110" t="s">
        <v>111</v>
      </c>
      <c r="C21" s="27" t="s">
        <v>53</v>
      </c>
      <c r="D21" s="27" t="s">
        <v>46</v>
      </c>
      <c r="E21" s="89">
        <v>0.9</v>
      </c>
      <c r="F21" s="2"/>
    </row>
    <row r="22" spans="1:6" ht="15.75" thickBot="1" x14ac:dyDescent="0.3">
      <c r="A22" s="23" t="s">
        <v>96</v>
      </c>
      <c r="B22" s="110" t="s">
        <v>112</v>
      </c>
      <c r="C22" s="27" t="s">
        <v>53</v>
      </c>
      <c r="D22" s="27" t="s">
        <v>46</v>
      </c>
      <c r="E22" s="89">
        <v>0.99</v>
      </c>
      <c r="F22" s="2"/>
    </row>
    <row r="23" spans="1:6" ht="15.75" thickBot="1" x14ac:dyDescent="0.3">
      <c r="A23" s="23" t="s">
        <v>96</v>
      </c>
      <c r="B23" s="112" t="s">
        <v>113</v>
      </c>
      <c r="C23" s="27" t="s">
        <v>53</v>
      </c>
      <c r="D23" s="27" t="s">
        <v>46</v>
      </c>
      <c r="E23" s="89">
        <v>0.97</v>
      </c>
      <c r="F23" s="2"/>
    </row>
    <row r="24" spans="1:6" ht="15.75" thickBot="1" x14ac:dyDescent="0.3">
      <c r="A24" s="23" t="s">
        <v>96</v>
      </c>
      <c r="B24" s="110" t="s">
        <v>114</v>
      </c>
      <c r="C24" s="27" t="s">
        <v>53</v>
      </c>
      <c r="D24" s="27" t="s">
        <v>46</v>
      </c>
      <c r="E24" s="89">
        <v>0.91</v>
      </c>
      <c r="F24" s="2"/>
    </row>
    <row r="25" spans="1:6" ht="15.75" thickBot="1" x14ac:dyDescent="0.3">
      <c r="A25" s="105"/>
      <c r="B25" s="113"/>
      <c r="C25" s="114"/>
      <c r="D25" s="114"/>
      <c r="E25" s="114"/>
      <c r="F25" s="2"/>
    </row>
    <row r="26" spans="1:6" ht="19.5" customHeight="1" thickBot="1" x14ac:dyDescent="0.3">
      <c r="A26" s="23" t="s">
        <v>96</v>
      </c>
      <c r="B26" s="115" t="s">
        <v>115</v>
      </c>
      <c r="C26" s="116" t="s">
        <v>41</v>
      </c>
      <c r="D26" s="117" t="s">
        <v>42</v>
      </c>
      <c r="E26" s="118">
        <v>2</v>
      </c>
      <c r="F26" s="2"/>
    </row>
    <row r="27" spans="1:6" ht="18.75" customHeight="1" thickBot="1" x14ac:dyDescent="0.3">
      <c r="A27" s="23" t="s">
        <v>96</v>
      </c>
      <c r="B27" s="109" t="s">
        <v>116</v>
      </c>
      <c r="C27" s="27" t="s">
        <v>41</v>
      </c>
      <c r="D27" s="27" t="s">
        <v>46</v>
      </c>
      <c r="E27" s="61">
        <v>1.25</v>
      </c>
      <c r="F27" s="2"/>
    </row>
    <row r="28" spans="1:6" ht="19.5" customHeight="1" thickBot="1" x14ac:dyDescent="0.3">
      <c r="A28" s="23" t="s">
        <v>96</v>
      </c>
      <c r="B28" s="113" t="s">
        <v>117</v>
      </c>
      <c r="C28" s="27" t="s">
        <v>41</v>
      </c>
      <c r="D28" s="27" t="s">
        <v>46</v>
      </c>
      <c r="E28" s="119">
        <v>1.9</v>
      </c>
    </row>
    <row r="29" spans="1:6" ht="17.25" customHeight="1" thickBot="1" x14ac:dyDescent="0.3">
      <c r="A29" s="23" t="s">
        <v>96</v>
      </c>
      <c r="B29" s="120" t="s">
        <v>118</v>
      </c>
      <c r="C29" s="27" t="s">
        <v>41</v>
      </c>
      <c r="D29" s="27" t="s">
        <v>46</v>
      </c>
      <c r="E29" s="61">
        <v>1.25</v>
      </c>
    </row>
    <row r="30" spans="1:6" ht="17.25" customHeight="1" thickBot="1" x14ac:dyDescent="0.3">
      <c r="A30" s="23" t="s">
        <v>96</v>
      </c>
      <c r="B30" s="109" t="s">
        <v>119</v>
      </c>
      <c r="C30" s="27" t="s">
        <v>41</v>
      </c>
      <c r="D30" s="27" t="s">
        <v>46</v>
      </c>
      <c r="E30" s="61">
        <v>1.25</v>
      </c>
    </row>
    <row r="31" spans="1:6" ht="15.75" thickBot="1" x14ac:dyDescent="0.3">
      <c r="A31" s="34" t="s">
        <v>99</v>
      </c>
      <c r="B31" s="121" t="s">
        <v>120</v>
      </c>
      <c r="C31" s="27" t="s">
        <v>41</v>
      </c>
      <c r="D31" s="27" t="s">
        <v>46</v>
      </c>
      <c r="E31" s="122">
        <v>1.2</v>
      </c>
    </row>
    <row r="32" spans="1:6" x14ac:dyDescent="0.25">
      <c r="A32" s="3"/>
      <c r="C32" s="94" t="s">
        <v>54</v>
      </c>
      <c r="D32" s="95" t="s">
        <v>55</v>
      </c>
      <c r="F32" t="s">
        <v>56</v>
      </c>
    </row>
    <row r="33" spans="1:6" ht="19.5" customHeight="1" x14ac:dyDescent="0.25">
      <c r="A33" s="3"/>
      <c r="B33" s="46" t="s">
        <v>57</v>
      </c>
      <c r="C33" s="123"/>
      <c r="D33" s="124">
        <f>COUNTIFS($A$8:$A$31,"Y",$C$8:$C$31,"1+",$D$8:$D$31,"MAJOR")</f>
        <v>0</v>
      </c>
      <c r="E33">
        <f>D33*6</f>
        <v>0</v>
      </c>
      <c r="F33" s="125">
        <f>ROUNDDOWN(D33/1,0)</f>
        <v>0</v>
      </c>
    </row>
    <row r="34" spans="1:6" ht="18" customHeight="1" x14ac:dyDescent="0.25">
      <c r="A34" s="3"/>
      <c r="B34" s="46" t="s">
        <v>58</v>
      </c>
      <c r="C34" s="123"/>
      <c r="D34" s="124">
        <f>COUNTIFS($A$8:$A$31,"Y",$C$8:$C$31,"1-",$D$8:$D$31,"MAJOR")</f>
        <v>2</v>
      </c>
      <c r="E34">
        <f>D34*3</f>
        <v>6</v>
      </c>
      <c r="F34" s="126">
        <f>-1*ROUNDDOWN(D34/2,0)</f>
        <v>-1</v>
      </c>
    </row>
    <row r="35" spans="1:6" ht="20.25" customHeight="1" x14ac:dyDescent="0.25">
      <c r="A35" s="3"/>
      <c r="B35" s="46" t="s">
        <v>59</v>
      </c>
      <c r="C35" s="123"/>
      <c r="D35" s="124">
        <f>COUNTIFS($A$8:$A$31,"Y",$C$8:$C$31,"1+",$D$8:$D$31,"minor")</f>
        <v>1</v>
      </c>
      <c r="E35">
        <f>D35*2</f>
        <v>2</v>
      </c>
      <c r="F35" s="126">
        <f>ROUNDDOWN(D35/3,0)</f>
        <v>0</v>
      </c>
    </row>
    <row r="36" spans="1:6" ht="18.75" customHeight="1" x14ac:dyDescent="0.25">
      <c r="A36" s="3"/>
      <c r="B36" s="46" t="s">
        <v>60</v>
      </c>
      <c r="C36" s="123"/>
      <c r="D36" s="124">
        <f>COUNTIFS($A$8:$A$31,"Y",$C$8:$C$31,"1-",$D$8:$D$31,"minor")</f>
        <v>3</v>
      </c>
      <c r="E36">
        <f>D36*1</f>
        <v>3</v>
      </c>
      <c r="F36" s="126">
        <f>-1*ROUNDDOWN(D36/6,0)</f>
        <v>0</v>
      </c>
    </row>
    <row r="37" spans="1:6" ht="15.75" thickBot="1" x14ac:dyDescent="0.3">
      <c r="A37" s="3"/>
      <c r="B37" s="46"/>
    </row>
    <row r="38" spans="1:6" ht="18.75" customHeight="1" thickBot="1" x14ac:dyDescent="0.3">
      <c r="A38" s="3"/>
      <c r="B38" s="127" t="s">
        <v>61</v>
      </c>
      <c r="C38" s="128"/>
      <c r="D38" s="128"/>
      <c r="E38" s="50">
        <f>(E33+E35)-(E34+E36)</f>
        <v>-7</v>
      </c>
    </row>
    <row r="39" spans="1:6" x14ac:dyDescent="0.25">
      <c r="A39" s="3"/>
      <c r="B39" s="51"/>
    </row>
    <row r="40" spans="1:6" ht="17.25" customHeight="1" x14ac:dyDescent="0.25">
      <c r="A40" s="3"/>
      <c r="B40" s="46" t="s">
        <v>62</v>
      </c>
      <c r="C40" s="52" t="s">
        <v>85</v>
      </c>
    </row>
    <row r="41" spans="1:6" ht="21.75" customHeight="1" thickBot="1" x14ac:dyDescent="0.3">
      <c r="A41" s="3"/>
      <c r="B41" s="46" t="s">
        <v>64</v>
      </c>
      <c r="C41" s="52" t="s">
        <v>63</v>
      </c>
    </row>
    <row r="42" spans="1:6" ht="20.25" customHeight="1" thickBot="1" x14ac:dyDescent="0.3">
      <c r="A42" s="3"/>
      <c r="B42" s="53" t="s">
        <v>66</v>
      </c>
      <c r="C42" s="129">
        <f>50+(SUM(F33:F36)*20)</f>
        <v>30</v>
      </c>
    </row>
    <row r="43" spans="1:6" ht="16.5" customHeight="1" x14ac:dyDescent="0.25">
      <c r="A43" s="3"/>
      <c r="B43" s="46" t="s">
        <v>67</v>
      </c>
      <c r="C43">
        <v>0.5</v>
      </c>
    </row>
    <row r="44" spans="1:6" ht="19.5" customHeight="1" x14ac:dyDescent="0.25">
      <c r="A44" s="3"/>
      <c r="B44" s="46" t="s">
        <v>68</v>
      </c>
      <c r="C44">
        <v>0.1</v>
      </c>
    </row>
  </sheetData>
  <mergeCells count="7">
    <mergeCell ref="B9:B10"/>
    <mergeCell ref="F9:F10"/>
    <mergeCell ref="E1:F1"/>
    <mergeCell ref="E2:F2"/>
    <mergeCell ref="E4:F4"/>
    <mergeCell ref="E5:F5"/>
    <mergeCell ref="E6:F6"/>
  </mergeCells>
  <conditionalFormatting sqref="A8:A31">
    <cfRule type="containsText" dxfId="31" priority="1" operator="containsText" text="Y">
      <formula>NOT(ISERROR(SEARCH("Y",A8)))</formula>
    </cfRule>
  </conditionalFormatting>
  <conditionalFormatting sqref="E38">
    <cfRule type="cellIs" dxfId="30" priority="2" operator="between">
      <formula>-6</formula>
      <formula>-20</formula>
    </cfRule>
    <cfRule type="cellIs" dxfId="29" priority="3" operator="between">
      <formula>-6</formula>
      <formula>0</formula>
    </cfRule>
    <cfRule type="cellIs" dxfId="28" priority="4" operator="between">
      <formula>0</formula>
      <formula>6</formula>
    </cfRule>
    <cfRule type="cellIs" dxfId="27" priority="5" operator="greaterThan">
      <formula>6</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443E4-6AA8-4DE3-8566-8543F7A76BB8}">
  <dimension ref="A1:O34"/>
  <sheetViews>
    <sheetView workbookViewId="0">
      <selection activeCell="B9" sqref="B9"/>
    </sheetView>
  </sheetViews>
  <sheetFormatPr defaultRowHeight="15" x14ac:dyDescent="0.25"/>
  <cols>
    <col min="2" max="2" width="109.85546875" customWidth="1"/>
    <col min="4" max="4" width="15.85546875" customWidth="1"/>
  </cols>
  <sheetData>
    <row r="1" spans="1:15" x14ac:dyDescent="0.25">
      <c r="A1" s="3"/>
      <c r="B1" s="7" t="s">
        <v>32</v>
      </c>
      <c r="C1" s="218" t="s">
        <v>33</v>
      </c>
      <c r="D1" s="197"/>
      <c r="E1" s="197"/>
      <c r="F1" s="197"/>
      <c r="G1" s="2"/>
      <c r="H1" s="219"/>
      <c r="I1" s="219"/>
      <c r="J1" s="2"/>
      <c r="K1" s="219"/>
      <c r="L1" s="219"/>
      <c r="M1" s="2"/>
      <c r="N1" s="2"/>
      <c r="O1" s="2"/>
    </row>
    <row r="2" spans="1:15" x14ac:dyDescent="0.25">
      <c r="A2" s="3"/>
      <c r="B2" s="9" t="s">
        <v>34</v>
      </c>
      <c r="C2" s="10"/>
      <c r="D2" s="10"/>
      <c r="E2" s="217"/>
      <c r="F2" s="217"/>
      <c r="G2" s="2"/>
      <c r="H2" s="219"/>
      <c r="I2" s="219"/>
      <c r="J2" s="2"/>
      <c r="K2" s="219"/>
      <c r="L2" s="219"/>
      <c r="M2" s="2"/>
      <c r="N2" s="2"/>
      <c r="O2" s="2"/>
    </row>
    <row r="3" spans="1:15" x14ac:dyDescent="0.25">
      <c r="A3" s="3"/>
      <c r="B3" s="2"/>
      <c r="C3" s="2"/>
      <c r="D3" s="2"/>
      <c r="E3" s="219"/>
      <c r="F3" s="219"/>
      <c r="G3" s="2"/>
      <c r="H3" s="219"/>
      <c r="I3" s="219"/>
      <c r="J3" s="2"/>
      <c r="K3" s="219"/>
      <c r="L3" s="219"/>
      <c r="M3" s="2"/>
      <c r="N3" s="2"/>
      <c r="O3" s="2"/>
    </row>
    <row r="4" spans="1:15" x14ac:dyDescent="0.25">
      <c r="A4" s="3"/>
      <c r="B4" s="2"/>
      <c r="C4" s="2"/>
      <c r="D4" s="2"/>
      <c r="E4" s="2"/>
      <c r="F4" s="2"/>
      <c r="G4" s="2"/>
      <c r="H4" s="2"/>
      <c r="I4" s="2"/>
      <c r="J4" s="2"/>
      <c r="K4" s="2"/>
      <c r="L4" s="2"/>
      <c r="M4" s="2"/>
      <c r="N4" s="2"/>
      <c r="O4" s="2"/>
    </row>
    <row r="5" spans="1:15" x14ac:dyDescent="0.25">
      <c r="A5" s="3"/>
      <c r="B5" s="2"/>
      <c r="C5" s="2"/>
      <c r="D5" s="2"/>
      <c r="E5" s="2"/>
      <c r="F5" s="2"/>
      <c r="G5" s="2"/>
      <c r="H5" s="2"/>
      <c r="I5" s="2"/>
      <c r="J5" s="2"/>
      <c r="K5" s="2"/>
      <c r="L5" s="2"/>
      <c r="M5" s="2"/>
      <c r="N5" s="2"/>
      <c r="O5" s="2"/>
    </row>
    <row r="6" spans="1:15" ht="15.75" thickBot="1" x14ac:dyDescent="0.3">
      <c r="A6" s="3"/>
      <c r="B6" s="2"/>
      <c r="C6" s="2"/>
      <c r="D6" s="2"/>
      <c r="E6" s="219"/>
      <c r="F6" s="219"/>
      <c r="G6" s="2"/>
      <c r="H6" s="219"/>
      <c r="I6" s="219"/>
      <c r="J6" s="2"/>
      <c r="K6" s="219"/>
      <c r="L6" s="219"/>
      <c r="M6" s="2"/>
      <c r="N6" s="2"/>
      <c r="O6" s="2"/>
    </row>
    <row r="7" spans="1:15" ht="16.5" thickBot="1" x14ac:dyDescent="0.3">
      <c r="A7" s="77" t="s">
        <v>35</v>
      </c>
      <c r="B7" s="78" t="s">
        <v>86</v>
      </c>
      <c r="C7" s="13" t="s">
        <v>37</v>
      </c>
      <c r="D7" s="13" t="s">
        <v>38</v>
      </c>
      <c r="E7" s="14" t="s">
        <v>39</v>
      </c>
      <c r="F7" s="15"/>
      <c r="G7" s="79"/>
      <c r="H7" s="79"/>
      <c r="I7" s="15"/>
      <c r="J7" s="79"/>
      <c r="K7" s="79"/>
      <c r="L7" s="15"/>
      <c r="M7" s="79"/>
      <c r="N7" s="79"/>
      <c r="O7" s="15"/>
    </row>
    <row r="8" spans="1:15" ht="18" customHeight="1" thickBot="1" x14ac:dyDescent="0.3">
      <c r="A8" s="16" t="s">
        <v>96</v>
      </c>
      <c r="B8" s="21" t="s">
        <v>87</v>
      </c>
      <c r="C8" s="18" t="s">
        <v>41</v>
      </c>
      <c r="D8" s="18" t="s">
        <v>42</v>
      </c>
      <c r="E8" s="19">
        <v>2</v>
      </c>
      <c r="F8" s="20"/>
      <c r="G8" s="20"/>
      <c r="H8" s="20"/>
      <c r="I8" s="20"/>
      <c r="J8" s="20"/>
      <c r="K8" s="20"/>
      <c r="L8" s="20"/>
      <c r="M8" s="20"/>
      <c r="N8" s="20"/>
      <c r="O8" s="20"/>
    </row>
    <row r="9" spans="1:15" ht="18" customHeight="1" thickBot="1" x14ac:dyDescent="0.3">
      <c r="A9" s="16" t="s">
        <v>99</v>
      </c>
      <c r="B9" s="21" t="s">
        <v>88</v>
      </c>
      <c r="C9" s="80" t="s">
        <v>41</v>
      </c>
      <c r="D9" s="80" t="s">
        <v>46</v>
      </c>
      <c r="E9" s="28">
        <v>1.25</v>
      </c>
      <c r="F9" s="20"/>
      <c r="G9" s="20"/>
      <c r="H9" s="20"/>
      <c r="I9" s="20"/>
      <c r="J9" s="20"/>
      <c r="K9" s="20"/>
      <c r="L9" s="20"/>
      <c r="M9" s="20"/>
      <c r="N9" s="20"/>
      <c r="O9" s="20"/>
    </row>
    <row r="10" spans="1:15" ht="19.5" customHeight="1" thickBot="1" x14ac:dyDescent="0.3">
      <c r="A10" s="23" t="s">
        <v>96</v>
      </c>
      <c r="B10" s="81" t="s">
        <v>80</v>
      </c>
      <c r="C10" s="55" t="s">
        <v>41</v>
      </c>
      <c r="D10" s="55" t="s">
        <v>46</v>
      </c>
      <c r="E10" s="29">
        <v>1.25</v>
      </c>
      <c r="F10" s="20"/>
      <c r="G10" s="20"/>
      <c r="H10" s="20"/>
      <c r="I10" s="20"/>
      <c r="J10" s="20"/>
      <c r="K10" s="20"/>
      <c r="L10" s="20"/>
      <c r="M10" s="20"/>
      <c r="N10" s="20"/>
      <c r="O10" s="20"/>
    </row>
    <row r="11" spans="1:15" ht="18" customHeight="1" thickBot="1" x14ac:dyDescent="0.3">
      <c r="A11" s="23" t="s">
        <v>96</v>
      </c>
      <c r="B11" s="24" t="s">
        <v>81</v>
      </c>
      <c r="C11" s="27" t="s">
        <v>41</v>
      </c>
      <c r="D11" s="27" t="s">
        <v>46</v>
      </c>
      <c r="E11" s="28">
        <v>1.25</v>
      </c>
      <c r="F11" s="20"/>
      <c r="G11" s="20"/>
      <c r="H11" s="20"/>
      <c r="I11" s="20"/>
      <c r="J11" s="20"/>
      <c r="K11" s="20"/>
      <c r="L11" s="20"/>
      <c r="M11" s="20"/>
      <c r="N11" s="20"/>
      <c r="O11" s="20"/>
    </row>
    <row r="12" spans="1:15" ht="15.75" thickBot="1" x14ac:dyDescent="0.3">
      <c r="A12" s="31"/>
      <c r="B12" s="32"/>
      <c r="C12" s="33"/>
      <c r="D12" s="33"/>
      <c r="E12" s="33"/>
      <c r="F12" s="20"/>
      <c r="G12" s="20"/>
      <c r="H12" s="20"/>
      <c r="I12" s="20"/>
      <c r="J12" s="20"/>
      <c r="K12" s="20"/>
      <c r="L12" s="20"/>
      <c r="M12" s="20"/>
      <c r="N12" s="20"/>
      <c r="O12" s="20"/>
    </row>
    <row r="13" spans="1:15" ht="22.5" customHeight="1" thickBot="1" x14ac:dyDescent="0.3">
      <c r="A13" s="82" t="s">
        <v>99</v>
      </c>
      <c r="B13" s="83" t="s">
        <v>40</v>
      </c>
      <c r="C13" s="84" t="s">
        <v>53</v>
      </c>
      <c r="D13" s="84" t="s">
        <v>42</v>
      </c>
      <c r="E13" s="69">
        <v>0.8</v>
      </c>
      <c r="F13" s="20"/>
      <c r="G13" s="20"/>
      <c r="H13" s="20"/>
      <c r="I13" s="20"/>
      <c r="J13" s="20"/>
      <c r="K13" s="20"/>
      <c r="L13" s="20"/>
      <c r="M13" s="20"/>
      <c r="N13" s="20"/>
      <c r="O13" s="20"/>
    </row>
    <row r="14" spans="1:15" ht="17.25" customHeight="1" thickBot="1" x14ac:dyDescent="0.3">
      <c r="A14" s="70" t="s">
        <v>96</v>
      </c>
      <c r="B14" s="24" t="s">
        <v>89</v>
      </c>
      <c r="C14" s="22" t="s">
        <v>53</v>
      </c>
      <c r="D14" s="22" t="s">
        <v>42</v>
      </c>
      <c r="E14" s="61">
        <v>0.8</v>
      </c>
      <c r="F14" s="20"/>
      <c r="G14" s="20"/>
      <c r="H14" s="20"/>
      <c r="I14" s="20"/>
      <c r="J14" s="20"/>
      <c r="K14" s="20"/>
      <c r="L14" s="20"/>
      <c r="M14" s="20"/>
      <c r="N14" s="20"/>
      <c r="O14" s="20"/>
    </row>
    <row r="15" spans="1:15" ht="18.75" customHeight="1" thickBot="1" x14ac:dyDescent="0.3">
      <c r="A15" s="70" t="s">
        <v>96</v>
      </c>
      <c r="B15" s="24" t="s">
        <v>82</v>
      </c>
      <c r="C15" s="55" t="s">
        <v>53</v>
      </c>
      <c r="D15" s="55" t="s">
        <v>46</v>
      </c>
      <c r="E15" s="85">
        <v>0.97</v>
      </c>
      <c r="F15" s="215"/>
      <c r="G15" s="215"/>
      <c r="H15" s="215"/>
      <c r="I15" s="215"/>
      <c r="J15" s="215"/>
      <c r="K15" s="215"/>
      <c r="L15" s="215"/>
      <c r="M15" s="215"/>
      <c r="N15" s="215"/>
      <c r="O15" s="215"/>
    </row>
    <row r="16" spans="1:15" ht="18" customHeight="1" thickBot="1" x14ac:dyDescent="0.3">
      <c r="A16" s="70" t="s">
        <v>96</v>
      </c>
      <c r="B16" s="24" t="s">
        <v>90</v>
      </c>
      <c r="C16" s="27" t="s">
        <v>53</v>
      </c>
      <c r="D16" s="86" t="s">
        <v>46</v>
      </c>
      <c r="E16" s="61">
        <v>0.97</v>
      </c>
      <c r="F16" s="215"/>
      <c r="G16" s="215"/>
      <c r="H16" s="215"/>
      <c r="I16" s="215"/>
      <c r="J16" s="215"/>
      <c r="K16" s="215"/>
      <c r="L16" s="215"/>
      <c r="M16" s="215"/>
      <c r="N16" s="215"/>
      <c r="O16" s="215"/>
    </row>
    <row r="17" spans="1:15" ht="16.5" customHeight="1" thickBot="1" x14ac:dyDescent="0.3">
      <c r="A17" s="70" t="s">
        <v>96</v>
      </c>
      <c r="B17" s="24" t="s">
        <v>91</v>
      </c>
      <c r="C17" s="27" t="s">
        <v>53</v>
      </c>
      <c r="D17" s="86" t="s">
        <v>46</v>
      </c>
      <c r="E17" s="85">
        <v>0.97</v>
      </c>
      <c r="F17" s="20"/>
      <c r="G17" s="20"/>
      <c r="H17" s="20"/>
      <c r="I17" s="20"/>
      <c r="J17" s="20"/>
      <c r="K17" s="20"/>
      <c r="L17" s="20"/>
      <c r="M17" s="20"/>
      <c r="N17" s="20"/>
      <c r="O17" s="87"/>
    </row>
    <row r="18" spans="1:15" ht="15.75" thickBot="1" x14ac:dyDescent="0.3">
      <c r="A18" s="70" t="s">
        <v>96</v>
      </c>
      <c r="B18" s="88" t="s">
        <v>92</v>
      </c>
      <c r="C18" s="89" t="s">
        <v>53</v>
      </c>
      <c r="D18" s="9" t="s">
        <v>46</v>
      </c>
      <c r="E18" s="61">
        <v>0.97</v>
      </c>
      <c r="F18" s="20"/>
      <c r="G18" s="20"/>
      <c r="H18" s="20"/>
      <c r="I18" s="20"/>
      <c r="J18" s="20"/>
      <c r="K18" s="20"/>
      <c r="L18" s="2"/>
      <c r="M18" s="2"/>
      <c r="N18" s="2"/>
      <c r="O18" s="20"/>
    </row>
    <row r="19" spans="1:15" ht="15.75" thickBot="1" x14ac:dyDescent="0.3">
      <c r="A19" s="70" t="s">
        <v>96</v>
      </c>
      <c r="B19" s="90" t="s">
        <v>93</v>
      </c>
      <c r="C19" s="91" t="s">
        <v>53</v>
      </c>
      <c r="D19" s="92" t="s">
        <v>46</v>
      </c>
      <c r="E19" s="93">
        <v>0.97</v>
      </c>
      <c r="F19" s="2"/>
      <c r="G19" s="2"/>
      <c r="H19" s="219"/>
      <c r="I19" s="219"/>
      <c r="J19" s="2"/>
      <c r="K19" s="219"/>
      <c r="L19" s="219"/>
      <c r="M19" s="2"/>
      <c r="N19" s="2"/>
      <c r="O19" s="20"/>
    </row>
    <row r="20" spans="1:15" x14ac:dyDescent="0.25">
      <c r="A20" s="3"/>
      <c r="B20" s="2"/>
      <c r="C20" s="94" t="s">
        <v>54</v>
      </c>
      <c r="D20" s="95" t="s">
        <v>55</v>
      </c>
      <c r="E20" s="2"/>
      <c r="F20" s="49" t="s">
        <v>56</v>
      </c>
      <c r="G20" s="2"/>
      <c r="H20" s="219"/>
      <c r="I20" s="219"/>
      <c r="J20" s="2"/>
      <c r="K20" s="219"/>
      <c r="L20" s="219"/>
      <c r="M20" s="2"/>
      <c r="N20" s="2"/>
      <c r="O20" s="20"/>
    </row>
    <row r="21" spans="1:15" ht="21" customHeight="1" x14ac:dyDescent="0.25">
      <c r="A21" s="3"/>
      <c r="B21" s="46" t="s">
        <v>57</v>
      </c>
      <c r="C21" s="47"/>
      <c r="D21" s="48">
        <f>COUNTIFS($A$10:$A$21,"Y",$C$10:$C$21,"1+",$D$10:$D$21,"MAJOR")</f>
        <v>0</v>
      </c>
      <c r="E21">
        <f>D21*6</f>
        <v>0</v>
      </c>
      <c r="F21" s="49">
        <f>ROUNDDOWN(D21/1,0)</f>
        <v>0</v>
      </c>
      <c r="G21" s="2"/>
      <c r="H21" s="219"/>
      <c r="I21" s="219"/>
      <c r="J21" s="2"/>
      <c r="K21" s="219"/>
      <c r="L21" s="219"/>
      <c r="M21" s="2"/>
      <c r="N21" s="2"/>
      <c r="O21" s="20"/>
    </row>
    <row r="22" spans="1:15" ht="21" customHeight="1" x14ac:dyDescent="0.25">
      <c r="A22" s="3"/>
      <c r="B22" s="46" t="s">
        <v>58</v>
      </c>
      <c r="C22" s="47"/>
      <c r="D22" s="48">
        <f>COUNTIFS($A$10:$A$21,"Y",$C$10:$C$21,"1-",$D$10:$D$21,"MAJOR")</f>
        <v>1</v>
      </c>
      <c r="E22">
        <f>D22*3</f>
        <v>3</v>
      </c>
      <c r="F22" s="49">
        <f>-1*ROUNDDOWN(D22/2,0)</f>
        <v>0</v>
      </c>
      <c r="G22" s="2"/>
      <c r="H22" s="219"/>
      <c r="I22" s="219"/>
      <c r="J22" s="2"/>
      <c r="K22" s="219"/>
      <c r="L22" s="219"/>
      <c r="M22" s="2"/>
      <c r="N22" s="2"/>
      <c r="O22" s="20"/>
    </row>
    <row r="23" spans="1:15" ht="21.75" customHeight="1" x14ac:dyDescent="0.25">
      <c r="A23" s="3"/>
      <c r="B23" s="46" t="s">
        <v>59</v>
      </c>
      <c r="C23" s="47"/>
      <c r="D23" s="48">
        <f>COUNTIFS($A$10:$A$21,"Y",$C$10:$C$21,"1+",$D$10:$D$21,"minor")</f>
        <v>0</v>
      </c>
      <c r="E23">
        <f>D23*2</f>
        <v>0</v>
      </c>
      <c r="F23" s="49">
        <f>ROUNDDOWN(D23/3,0)</f>
        <v>0</v>
      </c>
      <c r="G23" s="2"/>
      <c r="H23" s="219"/>
      <c r="I23" s="219"/>
      <c r="J23" s="2"/>
      <c r="K23" s="219"/>
      <c r="L23" s="219"/>
      <c r="M23" s="2"/>
      <c r="N23" s="2"/>
      <c r="O23" s="20"/>
    </row>
    <row r="24" spans="1:15" ht="21.75" customHeight="1" x14ac:dyDescent="0.25">
      <c r="A24" s="3"/>
      <c r="B24" s="46" t="s">
        <v>60</v>
      </c>
      <c r="C24" s="47"/>
      <c r="D24" s="48">
        <f>COUNTIFS($A$10:$A$21,"Y",$C$10:$C$21,"1-",$D$10:$D$21,"minor")</f>
        <v>0</v>
      </c>
      <c r="E24">
        <f>D24*1</f>
        <v>0</v>
      </c>
      <c r="F24" s="49">
        <f>-1*ROUNDDOWN(D24/6,0)</f>
        <v>0</v>
      </c>
      <c r="G24" s="2"/>
      <c r="H24" s="2"/>
      <c r="I24" s="2"/>
      <c r="J24" s="2"/>
      <c r="K24" s="2"/>
      <c r="L24" s="2"/>
      <c r="M24" s="2"/>
      <c r="N24" s="2"/>
      <c r="O24" s="20"/>
    </row>
    <row r="25" spans="1:15" ht="18.75" customHeight="1" thickBot="1" x14ac:dyDescent="0.3">
      <c r="A25" s="3"/>
      <c r="B25" s="96"/>
      <c r="E25" s="2"/>
      <c r="F25" s="2"/>
      <c r="G25" s="2"/>
      <c r="H25" s="2"/>
      <c r="I25" s="2"/>
      <c r="J25" s="2"/>
      <c r="K25" s="2"/>
      <c r="L25" s="2"/>
      <c r="M25" s="2"/>
      <c r="N25" s="2"/>
      <c r="O25" s="20"/>
    </row>
    <row r="26" spans="1:15" ht="15.75" thickBot="1" x14ac:dyDescent="0.3">
      <c r="A26" s="220" t="s">
        <v>61</v>
      </c>
      <c r="B26" s="221"/>
      <c r="C26" s="50"/>
      <c r="D26" s="50"/>
      <c r="E26" s="50">
        <f>(E21+E23)-(E22+E24)</f>
        <v>-3</v>
      </c>
      <c r="F26" s="2"/>
      <c r="G26" s="2"/>
      <c r="H26" s="219"/>
      <c r="I26" s="219"/>
      <c r="J26" s="2"/>
      <c r="K26" s="219"/>
      <c r="L26" s="219"/>
      <c r="M26" s="2"/>
      <c r="N26" s="2"/>
      <c r="O26" s="20"/>
    </row>
    <row r="27" spans="1:15" x14ac:dyDescent="0.25">
      <c r="A27" s="3"/>
      <c r="B27" s="51"/>
      <c r="E27" s="2"/>
      <c r="F27" s="2"/>
      <c r="G27" s="2"/>
      <c r="H27" s="219"/>
      <c r="I27" s="219"/>
      <c r="J27" s="2"/>
      <c r="K27" s="219"/>
      <c r="L27" s="219"/>
      <c r="M27" s="2"/>
      <c r="N27" s="2"/>
      <c r="O27" s="2"/>
    </row>
    <row r="28" spans="1:15" ht="17.25" customHeight="1" x14ac:dyDescent="0.25">
      <c r="A28" s="3"/>
      <c r="B28" s="46" t="s">
        <v>94</v>
      </c>
      <c r="C28" s="52" t="s">
        <v>85</v>
      </c>
      <c r="E28" s="2"/>
      <c r="F28" s="2"/>
      <c r="G28" s="2"/>
      <c r="H28" s="219"/>
      <c r="I28" s="219"/>
      <c r="J28" s="2"/>
      <c r="K28" s="219"/>
      <c r="L28" s="219"/>
      <c r="M28" s="2"/>
      <c r="N28" s="2"/>
      <c r="O28" s="2"/>
    </row>
    <row r="29" spans="1:15" ht="18" customHeight="1" thickBot="1" x14ac:dyDescent="0.3">
      <c r="A29" s="3"/>
      <c r="B29" s="46" t="s">
        <v>64</v>
      </c>
      <c r="C29" s="52" t="s">
        <v>85</v>
      </c>
      <c r="E29" s="2"/>
      <c r="F29" s="2"/>
      <c r="G29" s="2"/>
      <c r="H29" s="219"/>
      <c r="I29" s="219"/>
      <c r="J29" s="2"/>
      <c r="K29" s="219"/>
      <c r="L29" s="219"/>
      <c r="M29" s="2"/>
      <c r="N29" s="2"/>
      <c r="O29" s="2"/>
    </row>
    <row r="30" spans="1:15" ht="18.75" customHeight="1" thickBot="1" x14ac:dyDescent="0.3">
      <c r="A30" s="3"/>
      <c r="B30" s="53" t="s">
        <v>66</v>
      </c>
      <c r="C30" s="54">
        <f>50+(SUM(F21:F24)*20)</f>
        <v>50</v>
      </c>
      <c r="E30" s="2"/>
      <c r="F30" s="2"/>
      <c r="G30" s="2"/>
      <c r="H30" s="219"/>
      <c r="I30" s="219"/>
      <c r="J30" s="2"/>
      <c r="K30" s="219"/>
      <c r="L30" s="219"/>
      <c r="M30" s="2"/>
      <c r="N30" s="2"/>
      <c r="O30" s="2"/>
    </row>
    <row r="31" spans="1:15" ht="15.75" customHeight="1" x14ac:dyDescent="0.25">
      <c r="A31" s="3"/>
      <c r="B31" s="46" t="s">
        <v>67</v>
      </c>
      <c r="C31">
        <v>0.5</v>
      </c>
      <c r="E31" s="2"/>
      <c r="F31" s="2"/>
      <c r="G31" s="2"/>
      <c r="H31" s="219"/>
      <c r="I31" s="219"/>
      <c r="J31" s="2"/>
      <c r="K31" s="219"/>
      <c r="L31" s="219"/>
      <c r="M31" s="2"/>
      <c r="N31" s="2"/>
      <c r="O31" s="2"/>
    </row>
    <row r="32" spans="1:15" ht="17.25" customHeight="1" x14ac:dyDescent="0.25">
      <c r="A32" s="3"/>
      <c r="B32" s="46" t="s">
        <v>68</v>
      </c>
      <c r="C32">
        <v>0.5</v>
      </c>
      <c r="E32" s="2"/>
      <c r="F32" s="2"/>
      <c r="G32" s="2"/>
      <c r="H32" s="219"/>
      <c r="I32" s="219"/>
      <c r="J32" s="2"/>
      <c r="K32" s="219"/>
      <c r="L32" s="219"/>
      <c r="M32" s="2"/>
      <c r="N32" s="2"/>
      <c r="O32" s="2"/>
    </row>
    <row r="33" spans="1:15" x14ac:dyDescent="0.25">
      <c r="A33" s="3"/>
      <c r="B33" s="2"/>
      <c r="C33" s="2"/>
      <c r="D33" s="2"/>
      <c r="E33" s="2"/>
      <c r="F33" s="2"/>
      <c r="G33" s="2"/>
      <c r="H33" s="219"/>
      <c r="I33" s="219"/>
      <c r="J33" s="2"/>
      <c r="K33" s="219"/>
      <c r="L33" s="219"/>
      <c r="M33" s="2"/>
      <c r="N33" s="2"/>
      <c r="O33" s="2"/>
    </row>
    <row r="34" spans="1:15" x14ac:dyDescent="0.25">
      <c r="A34" s="3"/>
      <c r="B34" s="2"/>
      <c r="C34" s="2"/>
      <c r="D34" s="2"/>
      <c r="E34" s="2"/>
    </row>
  </sheetData>
  <mergeCells count="49">
    <mergeCell ref="H32:I32"/>
    <mergeCell ref="K32:L32"/>
    <mergeCell ref="H33:I33"/>
    <mergeCell ref="K33:L33"/>
    <mergeCell ref="H29:I29"/>
    <mergeCell ref="K29:L29"/>
    <mergeCell ref="H30:I30"/>
    <mergeCell ref="K30:L30"/>
    <mergeCell ref="H31:I31"/>
    <mergeCell ref="K31:L31"/>
    <mergeCell ref="A26:B26"/>
    <mergeCell ref="H26:I26"/>
    <mergeCell ref="K26:L26"/>
    <mergeCell ref="H28:I28"/>
    <mergeCell ref="K28:L28"/>
    <mergeCell ref="H27:I27"/>
    <mergeCell ref="K27:L27"/>
    <mergeCell ref="H23:I23"/>
    <mergeCell ref="K23:L23"/>
    <mergeCell ref="L15:L16"/>
    <mergeCell ref="M15:M16"/>
    <mergeCell ref="N15:N16"/>
    <mergeCell ref="H20:I20"/>
    <mergeCell ref="K20:L20"/>
    <mergeCell ref="H21:I21"/>
    <mergeCell ref="K21:L21"/>
    <mergeCell ref="H22:I22"/>
    <mergeCell ref="K22:L22"/>
    <mergeCell ref="O15:O16"/>
    <mergeCell ref="H19:I19"/>
    <mergeCell ref="K19:L19"/>
    <mergeCell ref="K15:K16"/>
    <mergeCell ref="F15:F16"/>
    <mergeCell ref="G15:G16"/>
    <mergeCell ref="H15:H16"/>
    <mergeCell ref="I15:I16"/>
    <mergeCell ref="J15:J16"/>
    <mergeCell ref="E3:F3"/>
    <mergeCell ref="H3:I3"/>
    <mergeCell ref="K3:L3"/>
    <mergeCell ref="E6:F6"/>
    <mergeCell ref="H6:I6"/>
    <mergeCell ref="K6:L6"/>
    <mergeCell ref="C1:F1"/>
    <mergeCell ref="H1:I1"/>
    <mergeCell ref="K1:L1"/>
    <mergeCell ref="E2:F2"/>
    <mergeCell ref="H2:I2"/>
    <mergeCell ref="K2:L2"/>
  </mergeCells>
  <conditionalFormatting sqref="A8:A19">
    <cfRule type="containsText" dxfId="26" priority="4" operator="containsText" text="Y">
      <formula>NOT(ISERROR(SEARCH("Y",A8)))</formula>
    </cfRule>
  </conditionalFormatting>
  <conditionalFormatting sqref="E26">
    <cfRule type="cellIs" dxfId="25" priority="1" operator="between">
      <formula>3</formula>
      <formula>4</formula>
    </cfRule>
    <cfRule type="cellIs" dxfId="24" priority="2" operator="between">
      <formula>-5</formula>
      <formula>-6</formula>
    </cfRule>
    <cfRule type="cellIs" dxfId="23" priority="3" operator="between">
      <formula>-7</formula>
      <formula>-11</formula>
    </cfRule>
    <cfRule type="cellIs" dxfId="22" priority="5" operator="between">
      <formula>7</formula>
      <formula>12</formula>
    </cfRule>
    <cfRule type="cellIs" dxfId="21" priority="6" operator="between">
      <formula>5</formula>
      <formula>6</formula>
    </cfRule>
    <cfRule type="cellIs" dxfId="20" priority="7" operator="between">
      <formula>-3</formula>
      <formula>-4</formula>
    </cfRule>
    <cfRule type="cellIs" dxfId="19" priority="8" operator="between">
      <formula>-2</formula>
      <formula>2</formula>
    </cfRule>
    <cfRule type="cellIs" dxfId="18" priority="9" operator="between">
      <formula>3</formula>
      <formula>4</formula>
    </cfRule>
    <cfRule type="cellIs" dxfId="17" priority="10" operator="between">
      <formula>-5</formula>
      <formula>-6</formula>
    </cfRule>
    <cfRule type="cellIs" dxfId="16" priority="11" operator="between">
      <formula>7</formula>
      <formula>9</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14F10-D48E-4837-B33A-F93A06DA4DDB}">
  <dimension ref="A6:F31"/>
  <sheetViews>
    <sheetView workbookViewId="0">
      <selection activeCell="F20" sqref="F20"/>
    </sheetView>
  </sheetViews>
  <sheetFormatPr defaultRowHeight="15" x14ac:dyDescent="0.25"/>
  <cols>
    <col min="1" max="1" width="7" customWidth="1"/>
    <col min="2" max="2" width="107.28515625" customWidth="1"/>
    <col min="3" max="3" width="13.5703125" customWidth="1"/>
    <col min="4" max="4" width="15.42578125" customWidth="1"/>
  </cols>
  <sheetData>
    <row r="6" spans="1:6" ht="15.75" thickBot="1" x14ac:dyDescent="0.3">
      <c r="A6" s="3"/>
      <c r="B6" s="2"/>
      <c r="C6" s="2"/>
      <c r="D6" s="2"/>
      <c r="E6" s="219"/>
      <c r="F6" s="219"/>
    </row>
    <row r="7" spans="1:6" ht="16.5" thickBot="1" x14ac:dyDescent="0.3">
      <c r="A7" s="11" t="s">
        <v>35</v>
      </c>
      <c r="B7" s="12" t="s">
        <v>36</v>
      </c>
      <c r="C7" s="13" t="s">
        <v>37</v>
      </c>
      <c r="D7" s="13" t="s">
        <v>38</v>
      </c>
      <c r="E7" s="14" t="s">
        <v>39</v>
      </c>
      <c r="F7" s="15"/>
    </row>
    <row r="8" spans="1:6" ht="15.75" customHeight="1" thickBot="1" x14ac:dyDescent="0.3">
      <c r="A8" s="16" t="s">
        <v>99</v>
      </c>
      <c r="B8" s="21" t="s">
        <v>78</v>
      </c>
      <c r="C8" s="18" t="s">
        <v>41</v>
      </c>
      <c r="D8" s="18" t="s">
        <v>42</v>
      </c>
      <c r="E8" s="19">
        <v>2</v>
      </c>
      <c r="F8" s="20"/>
    </row>
    <row r="9" spans="1:6" ht="17.25" customHeight="1" thickBot="1" x14ac:dyDescent="0.3">
      <c r="A9" s="16" t="s">
        <v>99</v>
      </c>
      <c r="B9" s="21" t="s">
        <v>79</v>
      </c>
      <c r="C9" s="18" t="s">
        <v>41</v>
      </c>
      <c r="D9" s="18" t="s">
        <v>42</v>
      </c>
      <c r="E9" s="28">
        <v>2</v>
      </c>
      <c r="F9" s="20"/>
    </row>
    <row r="10" spans="1:6" ht="17.25" customHeight="1" thickBot="1" x14ac:dyDescent="0.3">
      <c r="A10" s="23" t="s">
        <v>96</v>
      </c>
      <c r="B10" s="30" t="s">
        <v>80</v>
      </c>
      <c r="C10" s="55" t="s">
        <v>41</v>
      </c>
      <c r="D10" s="55" t="s">
        <v>46</v>
      </c>
      <c r="E10" s="29">
        <v>1.25</v>
      </c>
      <c r="F10" s="20"/>
    </row>
    <row r="11" spans="1:6" ht="17.25" customHeight="1" thickBot="1" x14ac:dyDescent="0.3">
      <c r="A11" s="23" t="s">
        <v>96</v>
      </c>
      <c r="B11" s="24" t="s">
        <v>81</v>
      </c>
      <c r="C11" s="27" t="s">
        <v>41</v>
      </c>
      <c r="D11" s="27" t="s">
        <v>46</v>
      </c>
      <c r="E11" s="29">
        <v>1.25</v>
      </c>
      <c r="F11" s="20"/>
    </row>
    <row r="12" spans="1:6" ht="18.75" customHeight="1" thickBot="1" x14ac:dyDescent="0.3">
      <c r="A12" s="23" t="s">
        <v>96</v>
      </c>
      <c r="B12" s="24" t="s">
        <v>82</v>
      </c>
      <c r="C12" s="27" t="s">
        <v>41</v>
      </c>
      <c r="D12" s="27" t="s">
        <v>46</v>
      </c>
      <c r="E12" s="29">
        <v>1.25</v>
      </c>
      <c r="F12" s="20"/>
    </row>
    <row r="13" spans="1:6" ht="20.25" customHeight="1" thickBot="1" x14ac:dyDescent="0.3">
      <c r="A13" s="23" t="s">
        <v>96</v>
      </c>
      <c r="B13" s="30" t="s">
        <v>49</v>
      </c>
      <c r="C13" s="27" t="s">
        <v>41</v>
      </c>
      <c r="D13" s="27" t="s">
        <v>46</v>
      </c>
      <c r="E13" s="29">
        <v>1.25</v>
      </c>
      <c r="F13" s="20"/>
    </row>
    <row r="14" spans="1:6" ht="16.5" customHeight="1" thickBot="1" x14ac:dyDescent="0.3">
      <c r="A14" s="16" t="s">
        <v>99</v>
      </c>
      <c r="B14" s="30" t="s">
        <v>50</v>
      </c>
      <c r="C14" s="27" t="s">
        <v>41</v>
      </c>
      <c r="D14" s="27" t="s">
        <v>46</v>
      </c>
      <c r="E14" s="29">
        <v>1.25</v>
      </c>
      <c r="F14" s="20"/>
    </row>
    <row r="15" spans="1:6" ht="15.75" thickBot="1" x14ac:dyDescent="0.3">
      <c r="A15" s="31"/>
      <c r="B15" s="32"/>
      <c r="C15" s="33"/>
      <c r="D15" s="33"/>
      <c r="E15" s="33"/>
      <c r="F15" s="20"/>
    </row>
    <row r="16" spans="1:6" ht="19.5" customHeight="1" thickBot="1" x14ac:dyDescent="0.3">
      <c r="A16" s="34" t="s">
        <v>96</v>
      </c>
      <c r="B16" s="66" t="s">
        <v>83</v>
      </c>
      <c r="C16" s="67" t="s">
        <v>53</v>
      </c>
      <c r="D16" s="68" t="s">
        <v>46</v>
      </c>
      <c r="E16" s="69">
        <v>0.97</v>
      </c>
      <c r="F16" s="20"/>
    </row>
    <row r="17" spans="1:6" ht="19.5" customHeight="1" thickBot="1" x14ac:dyDescent="0.3">
      <c r="A17" s="70" t="s">
        <v>96</v>
      </c>
      <c r="B17" s="62" t="s">
        <v>84</v>
      </c>
      <c r="C17" s="71" t="s">
        <v>53</v>
      </c>
      <c r="D17" s="72" t="s">
        <v>46</v>
      </c>
      <c r="E17" s="73">
        <v>0.97</v>
      </c>
      <c r="F17" s="20"/>
    </row>
    <row r="18" spans="1:6" x14ac:dyDescent="0.25">
      <c r="A18" s="74"/>
      <c r="B18" s="75"/>
      <c r="C18" s="76"/>
      <c r="D18" s="76"/>
      <c r="E18" s="76"/>
      <c r="F18" s="20"/>
    </row>
    <row r="19" spans="1:6" x14ac:dyDescent="0.25">
      <c r="A19" s="3"/>
      <c r="B19" s="2"/>
      <c r="C19" s="42" t="s">
        <v>54</v>
      </c>
      <c r="D19" s="43" t="s">
        <v>55</v>
      </c>
      <c r="E19" s="44"/>
      <c r="F19" s="45" t="s">
        <v>56</v>
      </c>
    </row>
    <row r="20" spans="1:6" ht="20.25" customHeight="1" x14ac:dyDescent="0.25">
      <c r="A20" s="3"/>
      <c r="B20" s="46" t="s">
        <v>57</v>
      </c>
      <c r="C20" s="47">
        <v>2</v>
      </c>
      <c r="D20" s="48">
        <v>2</v>
      </c>
      <c r="E20">
        <f>D20*6</f>
        <v>12</v>
      </c>
      <c r="F20" s="49">
        <f>ROUNDDOWN(D20/1,0)</f>
        <v>2</v>
      </c>
    </row>
    <row r="21" spans="1:6" ht="18" customHeight="1" x14ac:dyDescent="0.25">
      <c r="A21" s="3"/>
      <c r="B21" s="46" t="s">
        <v>58</v>
      </c>
      <c r="C21" s="47"/>
      <c r="D21" s="48">
        <f>COUNTIFS($A$13:$A$22,"Y",$C$13:$C$22,"1-",$D$13:$D$22,"MAJOR")</f>
        <v>0</v>
      </c>
      <c r="E21">
        <f>D21*3</f>
        <v>0</v>
      </c>
      <c r="F21" s="49">
        <f>-1*ROUNDDOWN(D21/2,0)</f>
        <v>0</v>
      </c>
    </row>
    <row r="22" spans="1:6" ht="16.5" customHeight="1" x14ac:dyDescent="0.25">
      <c r="A22" s="3"/>
      <c r="B22" s="46" t="s">
        <v>59</v>
      </c>
      <c r="C22" s="47"/>
      <c r="D22" s="48">
        <f>COUNTIFS($A$13:$A$22,"Y",$C$13:$C$22,"1+",$D$13:$D$22,"minor")</f>
        <v>1</v>
      </c>
      <c r="E22">
        <f>D22*2</f>
        <v>2</v>
      </c>
      <c r="F22" s="49">
        <f>ROUNDDOWN(D22/3,0)</f>
        <v>0</v>
      </c>
    </row>
    <row r="23" spans="1:6" ht="16.5" customHeight="1" x14ac:dyDescent="0.25">
      <c r="A23" s="3"/>
      <c r="B23" s="46" t="s">
        <v>60</v>
      </c>
      <c r="C23" s="47"/>
      <c r="D23" s="48">
        <f>COUNTIFS($A$13:$A$22,"Y",$C$13:$C$22,"1-",$D$13:$D$22,"minor")</f>
        <v>0</v>
      </c>
      <c r="E23">
        <f>D23*1</f>
        <v>0</v>
      </c>
      <c r="F23" s="49">
        <f>-1*ROUNDDOWN(D23/6,0)</f>
        <v>0</v>
      </c>
    </row>
    <row r="24" spans="1:6" ht="15.75" thickBot="1" x14ac:dyDescent="0.3">
      <c r="A24" s="3"/>
      <c r="B24" s="46"/>
      <c r="E24" s="2"/>
      <c r="F24" s="2"/>
    </row>
    <row r="25" spans="1:6" ht="15.75" thickBot="1" x14ac:dyDescent="0.3">
      <c r="A25" s="220" t="s">
        <v>61</v>
      </c>
      <c r="B25" s="221"/>
      <c r="C25" s="50"/>
      <c r="D25" s="50"/>
      <c r="E25" s="50">
        <f>(E20+E22)-(E21+E23)</f>
        <v>14</v>
      </c>
      <c r="F25" s="2"/>
    </row>
    <row r="26" spans="1:6" x14ac:dyDescent="0.25">
      <c r="A26" s="3"/>
      <c r="B26" s="51"/>
      <c r="E26" s="2"/>
      <c r="F26" s="2"/>
    </row>
    <row r="27" spans="1:6" ht="17.25" customHeight="1" x14ac:dyDescent="0.25">
      <c r="A27" s="3"/>
      <c r="B27" s="46" t="s">
        <v>62</v>
      </c>
      <c r="C27" s="52" t="s">
        <v>85</v>
      </c>
      <c r="E27" s="2"/>
      <c r="F27" s="2"/>
    </row>
    <row r="28" spans="1:6" ht="18" customHeight="1" thickBot="1" x14ac:dyDescent="0.3">
      <c r="A28" s="3"/>
      <c r="B28" s="46" t="s">
        <v>64</v>
      </c>
      <c r="C28" s="52" t="s">
        <v>65</v>
      </c>
      <c r="E28" s="2"/>
      <c r="F28" s="2"/>
    </row>
    <row r="29" spans="1:6" ht="16.5" customHeight="1" thickBot="1" x14ac:dyDescent="0.3">
      <c r="A29" s="3"/>
      <c r="B29" s="53" t="s">
        <v>66</v>
      </c>
      <c r="C29" s="54">
        <f>50+(SUM(F20:F23)*20)</f>
        <v>90</v>
      </c>
      <c r="E29" s="2"/>
      <c r="F29" s="2"/>
    </row>
    <row r="30" spans="1:6" ht="18" customHeight="1" x14ac:dyDescent="0.25">
      <c r="A30" s="3"/>
      <c r="B30" s="46" t="s">
        <v>67</v>
      </c>
      <c r="C30">
        <v>0.5</v>
      </c>
      <c r="E30" s="2"/>
      <c r="F30" s="2"/>
    </row>
    <row r="31" spans="1:6" ht="16.5" customHeight="1" x14ac:dyDescent="0.25">
      <c r="A31" s="3"/>
      <c r="B31" s="46" t="s">
        <v>68</v>
      </c>
      <c r="C31">
        <v>0.9</v>
      </c>
      <c r="E31" s="2"/>
      <c r="F31" s="2"/>
    </row>
  </sheetData>
  <mergeCells count="2">
    <mergeCell ref="E6:F6"/>
    <mergeCell ref="A25:B25"/>
  </mergeCells>
  <conditionalFormatting sqref="A8:A17">
    <cfRule type="containsText" dxfId="15" priority="1" operator="containsText" text="Y">
      <formula>NOT(ISERROR(SEARCH("Y",A8)))</formula>
    </cfRule>
  </conditionalFormatting>
  <conditionalFormatting sqref="E25">
    <cfRule type="cellIs" dxfId="14" priority="2" operator="between">
      <formula>17</formula>
      <formula>22</formula>
    </cfRule>
    <cfRule type="cellIs" dxfId="13" priority="3" operator="between">
      <formula>12</formula>
      <formula>16</formula>
    </cfRule>
    <cfRule type="cellIs" dxfId="12" priority="4" operator="between">
      <formula>7</formula>
      <formula>11</formula>
    </cfRule>
    <cfRule type="cellIs" dxfId="11" priority="5" operator="lessThanOrEqual">
      <formula>6</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F0C32-4C34-4691-8136-159246A5438A}">
  <dimension ref="A1:F32"/>
  <sheetViews>
    <sheetView workbookViewId="0">
      <selection activeCell="I18" sqref="I18"/>
    </sheetView>
  </sheetViews>
  <sheetFormatPr defaultRowHeight="15" x14ac:dyDescent="0.25"/>
  <cols>
    <col min="2" max="2" width="85.140625" customWidth="1"/>
    <col min="3" max="3" width="12.85546875" customWidth="1"/>
    <col min="4" max="4" width="15.85546875" customWidth="1"/>
  </cols>
  <sheetData>
    <row r="1" spans="1:6" ht="15.75" x14ac:dyDescent="0.25">
      <c r="A1" s="3"/>
      <c r="B1" s="4" t="s">
        <v>31</v>
      </c>
      <c r="C1" s="5"/>
      <c r="D1" s="5"/>
      <c r="E1" s="216"/>
      <c r="F1" s="216"/>
    </row>
    <row r="2" spans="1:6" ht="15.75" x14ac:dyDescent="0.25">
      <c r="A2" s="3"/>
      <c r="B2" s="6"/>
      <c r="C2" s="5"/>
      <c r="D2" s="5"/>
      <c r="E2" s="216"/>
      <c r="F2" s="216"/>
    </row>
    <row r="3" spans="1:6" x14ac:dyDescent="0.25">
      <c r="A3" s="3"/>
      <c r="B3" s="7" t="s">
        <v>32</v>
      </c>
      <c r="C3" s="218" t="s">
        <v>33</v>
      </c>
      <c r="D3" s="197"/>
      <c r="E3" s="197"/>
      <c r="F3" s="197"/>
    </row>
    <row r="4" spans="1:6" x14ac:dyDescent="0.25">
      <c r="A4" s="3"/>
      <c r="B4" s="9" t="s">
        <v>34</v>
      </c>
      <c r="C4" s="10"/>
      <c r="D4" s="10"/>
      <c r="E4" s="217"/>
      <c r="F4" s="217"/>
    </row>
    <row r="5" spans="1:6" x14ac:dyDescent="0.25">
      <c r="A5" s="3"/>
      <c r="B5" s="2"/>
      <c r="C5" s="2"/>
      <c r="D5" s="2"/>
      <c r="E5" s="219"/>
      <c r="F5" s="219"/>
    </row>
    <row r="6" spans="1:6" ht="15.75" thickBot="1" x14ac:dyDescent="0.3">
      <c r="A6" s="3"/>
      <c r="B6" s="2"/>
      <c r="C6" s="2"/>
      <c r="D6" s="2"/>
      <c r="E6" s="219"/>
      <c r="F6" s="219"/>
    </row>
    <row r="7" spans="1:6" ht="16.5" thickBot="1" x14ac:dyDescent="0.3">
      <c r="A7" s="11" t="s">
        <v>35</v>
      </c>
      <c r="B7" s="12" t="s">
        <v>69</v>
      </c>
      <c r="C7" s="13" t="s">
        <v>37</v>
      </c>
      <c r="D7" s="13" t="s">
        <v>38</v>
      </c>
      <c r="E7" s="14" t="s">
        <v>39</v>
      </c>
      <c r="F7" s="15"/>
    </row>
    <row r="8" spans="1:6" ht="19.5" customHeight="1" thickBot="1" x14ac:dyDescent="0.3">
      <c r="A8" s="16" t="s">
        <v>96</v>
      </c>
      <c r="B8" s="21" t="s">
        <v>70</v>
      </c>
      <c r="C8" s="55" t="s">
        <v>41</v>
      </c>
      <c r="D8" s="55" t="s">
        <v>46</v>
      </c>
      <c r="E8" s="56">
        <v>1.2</v>
      </c>
      <c r="F8" s="20"/>
    </row>
    <row r="9" spans="1:6" ht="18.75" customHeight="1" thickBot="1" x14ac:dyDescent="0.3">
      <c r="A9" s="16" t="s">
        <v>96</v>
      </c>
      <c r="B9" s="21" t="s">
        <v>71</v>
      </c>
      <c r="C9" s="27" t="s">
        <v>41</v>
      </c>
      <c r="D9" s="27" t="s">
        <v>46</v>
      </c>
      <c r="E9" s="27">
        <v>1.5</v>
      </c>
      <c r="F9" s="20"/>
    </row>
    <row r="10" spans="1:6" ht="20.25" customHeight="1" thickBot="1" x14ac:dyDescent="0.3">
      <c r="A10" s="23" t="s">
        <v>99</v>
      </c>
      <c r="B10" s="30" t="s">
        <v>51</v>
      </c>
      <c r="C10" s="25" t="s">
        <v>41</v>
      </c>
      <c r="D10" s="25" t="s">
        <v>42</v>
      </c>
      <c r="E10" s="26">
        <v>1.25</v>
      </c>
      <c r="F10" s="20"/>
    </row>
    <row r="11" spans="1:6" ht="15.75" thickBot="1" x14ac:dyDescent="0.3">
      <c r="A11" s="31"/>
      <c r="B11" s="32"/>
      <c r="C11" s="33"/>
      <c r="D11" s="33"/>
      <c r="E11" s="33"/>
      <c r="F11" s="20"/>
    </row>
    <row r="12" spans="1:6" ht="18.75" customHeight="1" thickBot="1" x14ac:dyDescent="0.3">
      <c r="A12" s="34" t="s">
        <v>96</v>
      </c>
      <c r="B12" s="57" t="s">
        <v>72</v>
      </c>
      <c r="C12" s="58" t="s">
        <v>53</v>
      </c>
      <c r="D12" s="59" t="s">
        <v>42</v>
      </c>
      <c r="E12" s="60">
        <v>0.5</v>
      </c>
      <c r="F12" s="20"/>
    </row>
    <row r="13" spans="1:6" ht="18.75" customHeight="1" thickBot="1" x14ac:dyDescent="0.3">
      <c r="A13" s="34" t="s">
        <v>96</v>
      </c>
      <c r="B13" s="189" t="s">
        <v>162</v>
      </c>
      <c r="C13" s="27" t="s">
        <v>53</v>
      </c>
      <c r="D13" s="27" t="s">
        <v>46</v>
      </c>
      <c r="E13" s="61">
        <v>0.97</v>
      </c>
      <c r="F13" s="20"/>
    </row>
    <row r="14" spans="1:6" ht="18.75" customHeight="1" thickBot="1" x14ac:dyDescent="0.3">
      <c r="A14" s="34" t="s">
        <v>96</v>
      </c>
      <c r="B14" s="21" t="s">
        <v>73</v>
      </c>
      <c r="C14" s="27" t="s">
        <v>53</v>
      </c>
      <c r="D14" s="27" t="s">
        <v>46</v>
      </c>
      <c r="E14" s="61">
        <v>0.97</v>
      </c>
      <c r="F14" s="20"/>
    </row>
    <row r="15" spans="1:6" ht="18" customHeight="1" thickBot="1" x14ac:dyDescent="0.3">
      <c r="A15" s="34" t="s">
        <v>99</v>
      </c>
      <c r="B15" s="62" t="s">
        <v>74</v>
      </c>
      <c r="C15" s="63" t="s">
        <v>53</v>
      </c>
      <c r="D15" s="64" t="s">
        <v>46</v>
      </c>
      <c r="E15" s="65">
        <v>0.98</v>
      </c>
      <c r="F15" s="20"/>
    </row>
    <row r="16" spans="1:6" x14ac:dyDescent="0.25">
      <c r="A16" s="39"/>
      <c r="B16" s="40"/>
      <c r="C16" s="41"/>
      <c r="D16" s="41"/>
      <c r="E16" s="41"/>
      <c r="F16" s="20"/>
    </row>
    <row r="17" spans="1:6" x14ac:dyDescent="0.25">
      <c r="A17" s="3"/>
      <c r="B17" s="2"/>
      <c r="C17" s="42" t="s">
        <v>54</v>
      </c>
      <c r="D17" s="43" t="s">
        <v>55</v>
      </c>
      <c r="E17" s="44"/>
      <c r="F17" s="45" t="s">
        <v>56</v>
      </c>
    </row>
    <row r="18" spans="1:6" ht="21" customHeight="1" x14ac:dyDescent="0.25">
      <c r="A18" s="3"/>
      <c r="B18" s="46" t="s">
        <v>57</v>
      </c>
      <c r="C18" s="47"/>
      <c r="D18" s="48">
        <f>COUNTIFS($A$8:$A$15,"Y",$C$8:$C$15,"1+",$D$8:$D$15,"MAJOR")</f>
        <v>1</v>
      </c>
      <c r="E18">
        <f>D18*6</f>
        <v>6</v>
      </c>
      <c r="F18" s="49">
        <f>ROUNDDOWN(D18/1,0)</f>
        <v>1</v>
      </c>
    </row>
    <row r="19" spans="1:6" ht="18.75" customHeight="1" x14ac:dyDescent="0.25">
      <c r="A19" s="3"/>
      <c r="B19" s="46" t="s">
        <v>58</v>
      </c>
      <c r="C19" s="47"/>
      <c r="D19" s="48">
        <f>COUNTIFS($A$8:$A$15,"Y",$C$8:$C$15,"1-",$D$8:$D$15,"MAJOR")</f>
        <v>0</v>
      </c>
      <c r="E19">
        <f>D19*3</f>
        <v>0</v>
      </c>
      <c r="F19" s="49">
        <f>-1*ROUNDDOWN(D19/2,0)</f>
        <v>0</v>
      </c>
    </row>
    <row r="20" spans="1:6" ht="20.25" customHeight="1" x14ac:dyDescent="0.25">
      <c r="A20" s="3"/>
      <c r="B20" s="46" t="s">
        <v>59</v>
      </c>
      <c r="C20" s="47"/>
      <c r="D20" s="48">
        <f>COUNTIFS($A$8:$A$15,"Y",$C$8:$C$15,"1+",$D$8:$D$15,"minor")</f>
        <v>0</v>
      </c>
      <c r="E20">
        <f>D20*2</f>
        <v>0</v>
      </c>
      <c r="F20" s="49">
        <f>ROUNDDOWN(D20/3,0)</f>
        <v>0</v>
      </c>
    </row>
    <row r="21" spans="1:6" ht="15.75" customHeight="1" x14ac:dyDescent="0.25">
      <c r="A21" s="3"/>
      <c r="B21" s="46" t="s">
        <v>60</v>
      </c>
      <c r="C21" s="47"/>
      <c r="D21" s="48">
        <f>COUNTIFS($A$8:$A$15,"Y",$C$8:$C$15,"1-",$D$8:$D$15,"minor")</f>
        <v>1</v>
      </c>
      <c r="E21">
        <f>D21*1</f>
        <v>1</v>
      </c>
      <c r="F21" s="49">
        <f>-1*ROUNDDOWN(D21/6,0)</f>
        <v>0</v>
      </c>
    </row>
    <row r="22" spans="1:6" ht="15.75" thickBot="1" x14ac:dyDescent="0.3">
      <c r="A22" s="3"/>
      <c r="B22" s="46"/>
      <c r="E22" s="2"/>
      <c r="F22" s="2"/>
    </row>
    <row r="23" spans="1:6" ht="15.75" thickBot="1" x14ac:dyDescent="0.3">
      <c r="A23" s="220" t="s">
        <v>61</v>
      </c>
      <c r="B23" s="221"/>
      <c r="C23" s="50"/>
      <c r="D23" s="50"/>
      <c r="E23" s="50">
        <f>(E18+E20)-(E19+E21)</f>
        <v>5</v>
      </c>
      <c r="F23" s="2"/>
    </row>
    <row r="24" spans="1:6" x14ac:dyDescent="0.25">
      <c r="A24" s="3"/>
      <c r="B24" s="51"/>
      <c r="E24" s="2"/>
      <c r="F24" s="2"/>
    </row>
    <row r="25" spans="1:6" ht="16.5" customHeight="1" x14ac:dyDescent="0.25">
      <c r="A25" s="3"/>
      <c r="B25" s="46" t="s">
        <v>75</v>
      </c>
      <c r="C25" s="52" t="s">
        <v>63</v>
      </c>
      <c r="E25" s="2"/>
      <c r="F25" s="2"/>
    </row>
    <row r="26" spans="1:6" ht="16.5" customHeight="1" thickBot="1" x14ac:dyDescent="0.3">
      <c r="A26" s="3"/>
      <c r="B26" s="46" t="s">
        <v>64</v>
      </c>
      <c r="C26" s="52" t="s">
        <v>76</v>
      </c>
      <c r="E26" s="2"/>
      <c r="F26" s="2"/>
    </row>
    <row r="27" spans="1:6" ht="18" customHeight="1" thickBot="1" x14ac:dyDescent="0.3">
      <c r="A27" s="3"/>
      <c r="B27" s="53" t="s">
        <v>66</v>
      </c>
      <c r="C27" s="54">
        <f>10+(SUM(F18:F21)*20)</f>
        <v>30</v>
      </c>
      <c r="E27" s="2"/>
      <c r="F27" s="2"/>
    </row>
    <row r="28" spans="1:6" ht="17.25" customHeight="1" x14ac:dyDescent="0.25">
      <c r="A28" s="3"/>
      <c r="B28" s="46" t="s">
        <v>67</v>
      </c>
      <c r="C28">
        <v>0.1</v>
      </c>
      <c r="E28" s="2"/>
      <c r="F28" s="2"/>
    </row>
    <row r="29" spans="1:6" ht="15.75" customHeight="1" x14ac:dyDescent="0.25">
      <c r="A29" s="3"/>
      <c r="B29" s="46" t="s">
        <v>68</v>
      </c>
      <c r="C29">
        <v>0.3</v>
      </c>
      <c r="E29" s="2"/>
      <c r="F29" s="2"/>
    </row>
    <row r="32" spans="1:6" x14ac:dyDescent="0.25">
      <c r="B32" t="s">
        <v>77</v>
      </c>
    </row>
  </sheetData>
  <mergeCells count="7">
    <mergeCell ref="A23:B23"/>
    <mergeCell ref="E1:F1"/>
    <mergeCell ref="E2:F2"/>
    <mergeCell ref="C3:F3"/>
    <mergeCell ref="E4:F4"/>
    <mergeCell ref="E5:F5"/>
    <mergeCell ref="E6:F6"/>
  </mergeCells>
  <conditionalFormatting sqref="A8:A15">
    <cfRule type="containsText" dxfId="10" priority="1" operator="containsText" text="Y">
      <formula>NOT(ISERROR(SEARCH("Y",A8)))</formula>
    </cfRule>
  </conditionalFormatting>
  <conditionalFormatting sqref="E23">
    <cfRule type="cellIs" dxfId="9" priority="2" operator="equal">
      <formula>4</formula>
    </cfRule>
    <cfRule type="cellIs" dxfId="8" priority="3" operator="between">
      <formula>5</formula>
      <formula>6</formula>
    </cfRule>
    <cfRule type="cellIs" dxfId="7" priority="4" operator="between">
      <formula>7</formula>
      <formula>10</formula>
    </cfRule>
    <cfRule type="cellIs" dxfId="6" priority="5" operator="between">
      <formula>1</formula>
      <formula>3</formula>
    </cfRule>
    <cfRule type="cellIs" dxfId="5" priority="6" operator="lessThan">
      <formula>1</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2B003-A4D2-48C1-85F9-3853D471937E}">
  <dimension ref="A1:F32"/>
  <sheetViews>
    <sheetView workbookViewId="0">
      <selection activeCell="B11" sqref="B11"/>
    </sheetView>
  </sheetViews>
  <sheetFormatPr defaultRowHeight="15" x14ac:dyDescent="0.25"/>
  <cols>
    <col min="1" max="1" width="7.7109375" customWidth="1"/>
    <col min="2" max="2" width="80.140625" customWidth="1"/>
    <col min="3" max="3" width="16.140625" customWidth="1"/>
    <col min="4" max="4" width="17.7109375" customWidth="1"/>
  </cols>
  <sheetData>
    <row r="1" spans="1:6" ht="15.75" x14ac:dyDescent="0.25">
      <c r="A1" s="3"/>
      <c r="B1" s="4" t="s">
        <v>31</v>
      </c>
      <c r="C1" s="5"/>
      <c r="D1" s="5"/>
      <c r="E1" s="216"/>
      <c r="F1" s="216"/>
    </row>
    <row r="2" spans="1:6" ht="15.75" x14ac:dyDescent="0.25">
      <c r="A2" s="3"/>
      <c r="B2" s="6"/>
      <c r="C2" s="5"/>
      <c r="D2" s="5"/>
      <c r="E2" s="216"/>
      <c r="F2" s="216"/>
    </row>
    <row r="3" spans="1:6" x14ac:dyDescent="0.25">
      <c r="A3" s="3"/>
      <c r="B3" s="7" t="s">
        <v>32</v>
      </c>
      <c r="C3" s="218" t="s">
        <v>33</v>
      </c>
      <c r="D3" s="197"/>
      <c r="E3" s="197"/>
      <c r="F3" s="197"/>
    </row>
    <row r="4" spans="1:6" x14ac:dyDescent="0.25">
      <c r="A4" s="3"/>
      <c r="B4" s="9" t="s">
        <v>34</v>
      </c>
      <c r="C4" s="10"/>
      <c r="D4" s="10"/>
      <c r="E4" s="217"/>
      <c r="F4" s="217"/>
    </row>
    <row r="5" spans="1:6" x14ac:dyDescent="0.25">
      <c r="A5" s="3"/>
      <c r="B5" s="2"/>
      <c r="C5" s="2"/>
      <c r="D5" s="2"/>
      <c r="E5" s="219"/>
      <c r="F5" s="219"/>
    </row>
    <row r="6" spans="1:6" ht="15.75" thickBot="1" x14ac:dyDescent="0.3">
      <c r="A6" s="3"/>
      <c r="B6" s="2"/>
      <c r="C6" s="2"/>
      <c r="D6" s="2"/>
      <c r="E6" s="219"/>
      <c r="F6" s="219"/>
    </row>
    <row r="7" spans="1:6" ht="16.5" thickBot="1" x14ac:dyDescent="0.3">
      <c r="A7" s="11" t="s">
        <v>35</v>
      </c>
      <c r="B7" s="12" t="s">
        <v>36</v>
      </c>
      <c r="C7" s="13" t="s">
        <v>37</v>
      </c>
      <c r="D7" s="13" t="s">
        <v>38</v>
      </c>
      <c r="E7" s="14" t="s">
        <v>39</v>
      </c>
      <c r="F7" s="15"/>
    </row>
    <row r="8" spans="1:6" ht="30" customHeight="1" thickBot="1" x14ac:dyDescent="0.3">
      <c r="A8" s="16" t="s">
        <v>99</v>
      </c>
      <c r="B8" s="17" t="s">
        <v>40</v>
      </c>
      <c r="C8" s="18" t="s">
        <v>41</v>
      </c>
      <c r="D8" s="18" t="s">
        <v>42</v>
      </c>
      <c r="E8" s="19">
        <v>2</v>
      </c>
      <c r="F8" s="20"/>
    </row>
    <row r="9" spans="1:6" ht="21.75" customHeight="1" thickBot="1" x14ac:dyDescent="0.3">
      <c r="A9" s="16" t="s">
        <v>99</v>
      </c>
      <c r="B9" s="21" t="s">
        <v>43</v>
      </c>
      <c r="C9" s="18" t="s">
        <v>41</v>
      </c>
      <c r="D9" s="18" t="s">
        <v>42</v>
      </c>
      <c r="E9" s="22">
        <v>4</v>
      </c>
      <c r="F9" s="20"/>
    </row>
    <row r="10" spans="1:6" ht="18" customHeight="1" thickBot="1" x14ac:dyDescent="0.3">
      <c r="A10" s="23" t="s">
        <v>99</v>
      </c>
      <c r="B10" s="24" t="s">
        <v>44</v>
      </c>
      <c r="C10" s="25" t="s">
        <v>41</v>
      </c>
      <c r="D10" s="25" t="s">
        <v>42</v>
      </c>
      <c r="E10" s="26">
        <v>6.9</v>
      </c>
      <c r="F10" s="20"/>
    </row>
    <row r="11" spans="1:6" ht="16.5" customHeight="1" thickBot="1" x14ac:dyDescent="0.3">
      <c r="A11" s="23" t="s">
        <v>99</v>
      </c>
      <c r="B11" s="24" t="s">
        <v>45</v>
      </c>
      <c r="C11" s="27" t="s">
        <v>41</v>
      </c>
      <c r="D11" s="27" t="s">
        <v>46</v>
      </c>
      <c r="E11" s="28">
        <v>1.25</v>
      </c>
      <c r="F11" s="20"/>
    </row>
    <row r="12" spans="1:6" ht="15.75" customHeight="1" thickBot="1" x14ac:dyDescent="0.3">
      <c r="A12" s="23" t="s">
        <v>96</v>
      </c>
      <c r="B12" s="24" t="s">
        <v>47</v>
      </c>
      <c r="C12" s="27" t="s">
        <v>41</v>
      </c>
      <c r="D12" s="27" t="s">
        <v>46</v>
      </c>
      <c r="E12" s="29">
        <v>1.25</v>
      </c>
      <c r="F12" s="20"/>
    </row>
    <row r="13" spans="1:6" ht="17.25" customHeight="1" thickBot="1" x14ac:dyDescent="0.3">
      <c r="A13" s="23" t="s">
        <v>96</v>
      </c>
      <c r="B13" s="30" t="s">
        <v>48</v>
      </c>
      <c r="C13" s="27" t="s">
        <v>41</v>
      </c>
      <c r="D13" s="27" t="s">
        <v>46</v>
      </c>
      <c r="E13" s="29">
        <v>1.25</v>
      </c>
      <c r="F13" s="20"/>
    </row>
    <row r="14" spans="1:6" ht="16.5" customHeight="1" thickBot="1" x14ac:dyDescent="0.3">
      <c r="A14" s="23" t="s">
        <v>96</v>
      </c>
      <c r="B14" s="30" t="s">
        <v>49</v>
      </c>
      <c r="C14" s="27" t="s">
        <v>41</v>
      </c>
      <c r="D14" s="27" t="s">
        <v>46</v>
      </c>
      <c r="E14" s="29">
        <v>1.25</v>
      </c>
      <c r="F14" s="20"/>
    </row>
    <row r="15" spans="1:6" ht="18" customHeight="1" thickBot="1" x14ac:dyDescent="0.3">
      <c r="A15" s="16" t="s">
        <v>99</v>
      </c>
      <c r="B15" s="30" t="s">
        <v>50</v>
      </c>
      <c r="C15" s="27" t="s">
        <v>41</v>
      </c>
      <c r="D15" s="27" t="s">
        <v>46</v>
      </c>
      <c r="E15" s="29">
        <v>1.25</v>
      </c>
      <c r="F15" s="20"/>
    </row>
    <row r="16" spans="1:6" ht="15.75" thickBot="1" x14ac:dyDescent="0.3">
      <c r="A16" s="23" t="s">
        <v>99</v>
      </c>
      <c r="B16" s="24" t="s">
        <v>51</v>
      </c>
      <c r="C16" s="27" t="s">
        <v>41</v>
      </c>
      <c r="D16" s="27" t="s">
        <v>46</v>
      </c>
      <c r="E16" s="29">
        <v>1.25</v>
      </c>
      <c r="F16" s="20"/>
    </row>
    <row r="17" spans="1:6" ht="15.75" thickBot="1" x14ac:dyDescent="0.3">
      <c r="A17" s="31"/>
      <c r="B17" s="32"/>
      <c r="C17" s="33"/>
      <c r="D17" s="33"/>
      <c r="E17" s="33"/>
      <c r="F17" s="20"/>
    </row>
    <row r="18" spans="1:6" ht="21.75" customHeight="1" thickBot="1" x14ac:dyDescent="0.3">
      <c r="A18" s="34" t="s">
        <v>96</v>
      </c>
      <c r="B18" s="35" t="s">
        <v>52</v>
      </c>
      <c r="C18" s="36" t="s">
        <v>53</v>
      </c>
      <c r="D18" s="37" t="s">
        <v>46</v>
      </c>
      <c r="E18" s="38">
        <v>0.97</v>
      </c>
      <c r="F18" s="20"/>
    </row>
    <row r="19" spans="1:6" x14ac:dyDescent="0.25">
      <c r="A19" s="39"/>
      <c r="B19" s="40"/>
      <c r="C19" s="41"/>
      <c r="D19" s="41"/>
      <c r="E19" s="41"/>
      <c r="F19" s="20"/>
    </row>
    <row r="20" spans="1:6" x14ac:dyDescent="0.25">
      <c r="A20" s="3"/>
      <c r="B20" s="2"/>
      <c r="C20" s="42" t="s">
        <v>54</v>
      </c>
      <c r="D20" s="43" t="s">
        <v>55</v>
      </c>
      <c r="E20" s="44"/>
      <c r="F20" s="45" t="s">
        <v>56</v>
      </c>
    </row>
    <row r="21" spans="1:6" ht="16.5" customHeight="1" x14ac:dyDescent="0.25">
      <c r="A21" s="3"/>
      <c r="B21" s="46" t="s">
        <v>57</v>
      </c>
      <c r="C21" s="47"/>
      <c r="D21" s="48">
        <f>COUNTIFS($A$8:$A$18,"Y",$C$8:$C$18,"1+",$D$8:$D$18,"MAJOR")</f>
        <v>3</v>
      </c>
      <c r="E21">
        <f>D21*6</f>
        <v>18</v>
      </c>
      <c r="F21" s="49">
        <f>ROUNDDOWN(D21/1,0)</f>
        <v>3</v>
      </c>
    </row>
    <row r="22" spans="1:6" ht="15.75" customHeight="1" x14ac:dyDescent="0.25">
      <c r="A22" s="3"/>
      <c r="B22" s="46" t="s">
        <v>58</v>
      </c>
      <c r="C22" s="47"/>
      <c r="D22" s="48">
        <f>COUNTIFS($A$8:$A$18,"Y",$C$8:$C$18,"1-",$D$8:$D$18,"MAJOR")</f>
        <v>0</v>
      </c>
      <c r="E22">
        <f>D22*3</f>
        <v>0</v>
      </c>
      <c r="F22" s="49">
        <f>-1*ROUNDDOWN(D22/2,0)</f>
        <v>0</v>
      </c>
    </row>
    <row r="23" spans="1:6" ht="15.75" customHeight="1" x14ac:dyDescent="0.25">
      <c r="A23" s="3"/>
      <c r="B23" s="46" t="s">
        <v>59</v>
      </c>
      <c r="C23" s="47"/>
      <c r="D23" s="48">
        <f>COUNTIFS($A$8:$A$18,"Y",$C$8:$C$18,"1+",$D$8:$D$18,"minor")</f>
        <v>3</v>
      </c>
      <c r="E23">
        <f>D23*2</f>
        <v>6</v>
      </c>
      <c r="F23" s="49">
        <f>ROUNDDOWN(D23/3,0)</f>
        <v>1</v>
      </c>
    </row>
    <row r="24" spans="1:6" ht="12" customHeight="1" x14ac:dyDescent="0.25">
      <c r="A24" s="3"/>
      <c r="B24" s="46" t="s">
        <v>60</v>
      </c>
      <c r="C24" s="47"/>
      <c r="D24" s="48">
        <f>COUNTIFS($A$8:$A$18,"Y",$C$8:$C$18,"1-",$D$8:$D$18,"minor")</f>
        <v>0</v>
      </c>
      <c r="E24">
        <f>D24*1</f>
        <v>0</v>
      </c>
      <c r="F24" s="49">
        <f>-1*ROUNDDOWN(D24/6,0)</f>
        <v>0</v>
      </c>
    </row>
    <row r="25" spans="1:6" ht="15.75" thickBot="1" x14ac:dyDescent="0.3">
      <c r="A25" s="3"/>
      <c r="B25" s="46"/>
      <c r="E25" s="2"/>
      <c r="F25" s="2"/>
    </row>
    <row r="26" spans="1:6" ht="15.75" thickBot="1" x14ac:dyDescent="0.3">
      <c r="A26" s="220" t="s">
        <v>61</v>
      </c>
      <c r="B26" s="221"/>
      <c r="C26" s="50"/>
      <c r="D26" s="50"/>
      <c r="E26" s="50">
        <f>(E21+E23)-(E22+E24)</f>
        <v>24</v>
      </c>
      <c r="F26" s="2"/>
    </row>
    <row r="27" spans="1:6" x14ac:dyDescent="0.25">
      <c r="A27" s="3"/>
      <c r="B27" s="51"/>
      <c r="E27" s="2"/>
      <c r="F27" s="2"/>
    </row>
    <row r="28" spans="1:6" ht="12" customHeight="1" x14ac:dyDescent="0.25">
      <c r="A28" s="3"/>
      <c r="B28" s="46" t="s">
        <v>62</v>
      </c>
      <c r="C28" s="52" t="s">
        <v>63</v>
      </c>
      <c r="E28" s="2"/>
      <c r="F28" s="2"/>
    </row>
    <row r="29" spans="1:6" ht="18" customHeight="1" thickBot="1" x14ac:dyDescent="0.3">
      <c r="A29" s="3"/>
      <c r="B29" s="46" t="s">
        <v>64</v>
      </c>
      <c r="C29" s="52" t="s">
        <v>65</v>
      </c>
      <c r="E29" s="2"/>
      <c r="F29" s="2"/>
    </row>
    <row r="30" spans="1:6" ht="18.75" customHeight="1" thickBot="1" x14ac:dyDescent="0.3">
      <c r="A30" s="3"/>
      <c r="B30" s="53" t="s">
        <v>66</v>
      </c>
      <c r="C30" s="54">
        <f>10+(SUM(F21:F24)*20)</f>
        <v>90</v>
      </c>
      <c r="E30" s="2"/>
      <c r="F30" s="2"/>
    </row>
    <row r="31" spans="1:6" ht="15.75" customHeight="1" x14ac:dyDescent="0.25">
      <c r="A31" s="3"/>
      <c r="B31" s="46" t="s">
        <v>67</v>
      </c>
      <c r="C31">
        <v>0.1</v>
      </c>
      <c r="E31" s="2"/>
      <c r="F31" s="2"/>
    </row>
    <row r="32" spans="1:6" ht="15" customHeight="1" x14ac:dyDescent="0.25">
      <c r="A32" s="3"/>
      <c r="B32" s="46" t="s">
        <v>68</v>
      </c>
      <c r="C32">
        <v>0.9</v>
      </c>
      <c r="E32" s="2"/>
      <c r="F32" s="2"/>
    </row>
  </sheetData>
  <mergeCells count="7">
    <mergeCell ref="A26:B26"/>
    <mergeCell ref="E1:F1"/>
    <mergeCell ref="E2:F2"/>
    <mergeCell ref="C3:F3"/>
    <mergeCell ref="E4:F4"/>
    <mergeCell ref="E5:F5"/>
    <mergeCell ref="E6:F6"/>
  </mergeCells>
  <conditionalFormatting sqref="A8:A18">
    <cfRule type="containsText" dxfId="4" priority="1" operator="containsText" text="Y">
      <formula>NOT(ISERROR(SEARCH("Y",A8)))</formula>
    </cfRule>
  </conditionalFormatting>
  <conditionalFormatting sqref="E26">
    <cfRule type="cellIs" dxfId="3" priority="2" operator="between">
      <formula>26</formula>
      <formula>30</formula>
    </cfRule>
    <cfRule type="cellIs" dxfId="2" priority="3" operator="between">
      <formula>18</formula>
      <formula>25</formula>
    </cfRule>
    <cfRule type="cellIs" dxfId="1" priority="4" operator="between">
      <formula>12</formula>
      <formula>17</formula>
    </cfRule>
    <cfRule type="cellIs" dxfId="0" priority="5" operator="lessThan">
      <formula>11</formula>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55E2F-69A9-4E98-A8CC-8049101AC046}">
  <dimension ref="A1:G18"/>
  <sheetViews>
    <sheetView workbookViewId="0">
      <selection activeCell="D1" sqref="D1"/>
    </sheetView>
  </sheetViews>
  <sheetFormatPr defaultRowHeight="15" x14ac:dyDescent="0.25"/>
  <cols>
    <col min="1" max="1" width="9.140625" style="3"/>
    <col min="2" max="2" width="58.28515625" customWidth="1"/>
    <col min="3" max="3" width="19.28515625" customWidth="1"/>
    <col min="4" max="4" width="13.7109375" customWidth="1"/>
    <col min="5" max="5" width="96" customWidth="1"/>
  </cols>
  <sheetData>
    <row r="1" spans="1:7" ht="45" customHeight="1" thickBot="1" x14ac:dyDescent="0.3">
      <c r="A1" s="149" t="s">
        <v>35</v>
      </c>
      <c r="B1" s="163" t="s">
        <v>24</v>
      </c>
      <c r="C1" s="164" t="s">
        <v>13</v>
      </c>
      <c r="D1" s="148" t="s">
        <v>156</v>
      </c>
      <c r="E1" s="1" t="s">
        <v>146</v>
      </c>
    </row>
    <row r="2" spans="1:7" ht="45" customHeight="1" thickBot="1" x14ac:dyDescent="0.3">
      <c r="A2" s="23">
        <v>1</v>
      </c>
      <c r="B2" s="150" t="s">
        <v>8</v>
      </c>
      <c r="C2" s="222" t="s">
        <v>10</v>
      </c>
      <c r="D2" s="161">
        <v>1</v>
      </c>
      <c r="E2" s="1" t="s">
        <v>148</v>
      </c>
    </row>
    <row r="3" spans="1:7" ht="42.75" customHeight="1" thickBot="1" x14ac:dyDescent="0.3">
      <c r="A3" s="23">
        <v>1</v>
      </c>
      <c r="B3" s="150" t="s">
        <v>147</v>
      </c>
      <c r="C3" s="223"/>
      <c r="D3" s="161">
        <v>1</v>
      </c>
      <c r="E3" s="1" t="s">
        <v>149</v>
      </c>
    </row>
    <row r="4" spans="1:7" ht="53.25" customHeight="1" thickBot="1" x14ac:dyDescent="0.3">
      <c r="A4" s="23">
        <v>1</v>
      </c>
      <c r="B4" s="150" t="s">
        <v>11</v>
      </c>
      <c r="C4" s="224"/>
      <c r="D4" s="161">
        <v>1</v>
      </c>
      <c r="E4" s="1" t="s">
        <v>150</v>
      </c>
    </row>
    <row r="5" spans="1:7" ht="62.25" customHeight="1" thickBot="1" x14ac:dyDescent="0.3">
      <c r="A5" s="23">
        <v>0</v>
      </c>
      <c r="B5" s="150" t="s">
        <v>9</v>
      </c>
      <c r="C5" s="222" t="s">
        <v>12</v>
      </c>
      <c r="D5" s="161">
        <v>1</v>
      </c>
      <c r="E5" s="1" t="s">
        <v>0</v>
      </c>
    </row>
    <row r="6" spans="1:7" ht="60.75" customHeight="1" thickBot="1" x14ac:dyDescent="0.3">
      <c r="A6" s="23">
        <v>1</v>
      </c>
      <c r="B6" s="162" t="s">
        <v>20</v>
      </c>
      <c r="C6" s="225"/>
      <c r="D6" s="161">
        <v>1</v>
      </c>
      <c r="E6" s="1" t="s">
        <v>1</v>
      </c>
      <c r="G6" s="1"/>
    </row>
    <row r="7" spans="1:7" ht="55.5" customHeight="1" thickBot="1" x14ac:dyDescent="0.3">
      <c r="A7" s="23">
        <v>1</v>
      </c>
      <c r="B7" s="162" t="s">
        <v>134</v>
      </c>
      <c r="C7" s="222" t="s">
        <v>19</v>
      </c>
      <c r="D7" s="161">
        <v>1</v>
      </c>
      <c r="E7" s="1"/>
    </row>
    <row r="8" spans="1:7" ht="70.5" customHeight="1" thickBot="1" x14ac:dyDescent="0.3">
      <c r="A8" s="23">
        <v>0</v>
      </c>
      <c r="B8" s="162" t="s">
        <v>28</v>
      </c>
      <c r="C8" s="223"/>
      <c r="D8" s="161">
        <v>1</v>
      </c>
      <c r="E8" s="1" t="s">
        <v>2</v>
      </c>
    </row>
    <row r="9" spans="1:7" ht="55.5" customHeight="1" thickBot="1" x14ac:dyDescent="0.3">
      <c r="A9" s="23">
        <v>0</v>
      </c>
      <c r="B9" s="162" t="s">
        <v>27</v>
      </c>
      <c r="C9" s="225"/>
      <c r="D9" s="161">
        <v>1</v>
      </c>
      <c r="E9" s="1" t="s">
        <v>135</v>
      </c>
    </row>
    <row r="10" spans="1:7" ht="60.75" customHeight="1" thickBot="1" x14ac:dyDescent="0.3">
      <c r="A10" s="23">
        <v>0</v>
      </c>
      <c r="B10" s="162" t="s">
        <v>30</v>
      </c>
      <c r="C10" s="165" t="s">
        <v>151</v>
      </c>
      <c r="D10" s="161">
        <v>1</v>
      </c>
      <c r="E10" s="1" t="s">
        <v>3</v>
      </c>
    </row>
    <row r="11" spans="1:7" ht="42" customHeight="1" thickBot="1" x14ac:dyDescent="0.3">
      <c r="A11" s="23">
        <v>1</v>
      </c>
      <c r="B11" s="162" t="s">
        <v>4</v>
      </c>
      <c r="C11" s="165" t="s">
        <v>16</v>
      </c>
      <c r="D11" s="161">
        <v>1</v>
      </c>
      <c r="E11" s="1" t="s">
        <v>5</v>
      </c>
    </row>
    <row r="12" spans="1:7" ht="52.5" customHeight="1" thickBot="1" x14ac:dyDescent="0.3">
      <c r="A12" s="23">
        <v>0</v>
      </c>
      <c r="B12" s="162" t="s">
        <v>14</v>
      </c>
      <c r="C12" s="165" t="s">
        <v>15</v>
      </c>
      <c r="D12" s="161">
        <v>1</v>
      </c>
      <c r="E12" s="1" t="s">
        <v>6</v>
      </c>
    </row>
    <row r="13" spans="1:7" ht="70.5" customHeight="1" thickBot="1" x14ac:dyDescent="0.3">
      <c r="A13" s="23">
        <v>0</v>
      </c>
      <c r="B13" s="162" t="s">
        <v>29</v>
      </c>
      <c r="C13" s="165" t="s">
        <v>17</v>
      </c>
      <c r="D13" s="161">
        <v>1</v>
      </c>
      <c r="E13" s="1" t="s">
        <v>7</v>
      </c>
    </row>
    <row r="14" spans="1:7" ht="47.25" customHeight="1" thickBot="1" x14ac:dyDescent="0.3">
      <c r="A14" s="23">
        <v>1</v>
      </c>
      <c r="B14" s="162" t="s">
        <v>154</v>
      </c>
      <c r="C14" s="222" t="s">
        <v>18</v>
      </c>
      <c r="D14" s="161">
        <v>1</v>
      </c>
      <c r="E14" s="1" t="s">
        <v>22</v>
      </c>
    </row>
    <row r="15" spans="1:7" ht="35.25" customHeight="1" thickBot="1" x14ac:dyDescent="0.3">
      <c r="A15" s="23">
        <v>1</v>
      </c>
      <c r="B15" s="166" t="s">
        <v>21</v>
      </c>
      <c r="C15" s="223"/>
      <c r="D15" s="161">
        <v>1</v>
      </c>
      <c r="E15" s="1" t="s">
        <v>23</v>
      </c>
    </row>
    <row r="16" spans="1:7" ht="52.5" customHeight="1" thickBot="1" x14ac:dyDescent="0.3">
      <c r="A16" s="23">
        <v>1</v>
      </c>
      <c r="B16" s="166" t="s">
        <v>153</v>
      </c>
      <c r="C16" s="224"/>
      <c r="D16" s="161">
        <v>1</v>
      </c>
      <c r="E16" s="1" t="s">
        <v>155</v>
      </c>
    </row>
    <row r="17" spans="1:5" ht="52.5" customHeight="1" thickBot="1" x14ac:dyDescent="0.3">
      <c r="A17" s="105">
        <v>1</v>
      </c>
      <c r="B17" s="166" t="s">
        <v>152</v>
      </c>
      <c r="C17" s="168" t="s">
        <v>25</v>
      </c>
      <c r="D17" s="167">
        <v>1</v>
      </c>
      <c r="E17" s="1" t="s">
        <v>26</v>
      </c>
    </row>
    <row r="18" spans="1:5" ht="66.75" customHeight="1" thickBot="1" x14ac:dyDescent="0.45">
      <c r="A18" s="151">
        <f>SUM(A2:A17)</f>
        <v>10</v>
      </c>
      <c r="B18" s="169" t="s">
        <v>133</v>
      </c>
      <c r="C18" s="171" t="s">
        <v>132</v>
      </c>
      <c r="D18" s="170">
        <f>SUM(D2:D17)</f>
        <v>16</v>
      </c>
      <c r="E18" s="1"/>
    </row>
  </sheetData>
  <mergeCells count="4">
    <mergeCell ref="C2:C4"/>
    <mergeCell ref="C5:C6"/>
    <mergeCell ref="C14:C16"/>
    <mergeCell ref="C7:C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 of Scores</vt:lpstr>
      <vt:lpstr>Cardiac</vt:lpstr>
      <vt:lpstr>GERD</vt:lpstr>
      <vt:lpstr>Esophageal Dysphagia</vt:lpstr>
      <vt:lpstr>RA</vt:lpstr>
      <vt:lpstr>CREST</vt:lpstr>
      <vt:lpstr>PR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Rohlfsen, Cory J</dc:creator>
  <cp:lastModifiedBy>Rohlfsen, Cory J</cp:lastModifiedBy>
  <dcterms:created xsi:type="dcterms:W3CDTF">2025-01-04T20:19:04Z</dcterms:created>
  <dcterms:modified xsi:type="dcterms:W3CDTF">2025-01-15T23:44:53Z</dcterms:modified>
</cp:coreProperties>
</file>