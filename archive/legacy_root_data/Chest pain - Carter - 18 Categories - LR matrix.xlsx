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ivnebrmedcntr-my.sharepoint.com/personal/cory_rohlfsen_unmc_edu/Documents/ChatBot GPT test files/UVA cases x 3/"/>
    </mc:Choice>
  </mc:AlternateContent>
  <xr:revisionPtr revIDLastSave="21" documentId="8_{FB9860F6-5058-4911-AF44-24163C882414}" xr6:coauthVersionLast="47" xr6:coauthVersionMax="47" xr10:uidLastSave="{49D62FCE-BC0D-4260-8CDD-6C380CCA0C79}"/>
  <bookViews>
    <workbookView xWindow="19090" yWindow="-110" windowWidth="19420" windowHeight="10300" xr2:uid="{00000000-000D-0000-FFFF-FFFF00000000}"/>
  </bookViews>
  <sheets>
    <sheet name="18 possibilities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7" l="1"/>
</calcChain>
</file>

<file path=xl/sharedStrings.xml><?xml version="1.0" encoding="utf-8"?>
<sst xmlns="http://schemas.openxmlformats.org/spreadsheetml/2006/main" count="102" uniqueCount="102">
  <si>
    <t>Stable angina</t>
  </si>
  <si>
    <t>Coronary Vasospasm</t>
  </si>
  <si>
    <t>Coronary dissection</t>
  </si>
  <si>
    <t>Myopericarditis</t>
  </si>
  <si>
    <t>Arrhythmia</t>
  </si>
  <si>
    <t>Pneumonia</t>
  </si>
  <si>
    <t>Post-viral pleurisy</t>
  </si>
  <si>
    <t>Aortic dissection</t>
  </si>
  <si>
    <t>Pulmonary embolism</t>
  </si>
  <si>
    <t>Anxiety</t>
  </si>
  <si>
    <t>Costochondritis</t>
  </si>
  <si>
    <t>Shingles</t>
  </si>
  <si>
    <t>Key feature</t>
  </si>
  <si>
    <t>Patient has: Chest pain worse with exertion</t>
  </si>
  <si>
    <t>Patient has: Substernal, pressure-like pain</t>
  </si>
  <si>
    <t>Patient has: Associated diaphoresis</t>
  </si>
  <si>
    <t>Patient has: Associated shortness of breath</t>
  </si>
  <si>
    <t>Patient has: HTN</t>
  </si>
  <si>
    <t>Patient has: HLD</t>
  </si>
  <si>
    <t>Patient has: DM2</t>
  </si>
  <si>
    <t>Patient has: history of tobacco use</t>
  </si>
  <si>
    <t>Patient does not have: Alcohol use</t>
  </si>
  <si>
    <t>Patient does not have: Recreational drug use</t>
  </si>
  <si>
    <t>Patient does not have: positional chest pain</t>
  </si>
  <si>
    <t>Patient does not have: pleuritic chest pain, pain with breathing</t>
  </si>
  <si>
    <t>Patient does not have: pain reproducible on palpation</t>
  </si>
  <si>
    <t>Patient does not have: pain radiating to arm, neck, or jaw</t>
  </si>
  <si>
    <t>Patient has: pain at rest</t>
  </si>
  <si>
    <t>Patient does not have: pain that improves with rest</t>
  </si>
  <si>
    <t>Patient has:  emotional stress (recent loss)</t>
  </si>
  <si>
    <t>Patient has: history of anxiety in 20s</t>
  </si>
  <si>
    <t xml:space="preserve">Patient does not have: Recent viral illness </t>
  </si>
  <si>
    <t>Patient does not have: palpitations</t>
  </si>
  <si>
    <t>Patient has: Family history of premature coronary disease</t>
  </si>
  <si>
    <t>Patient does not have: syncope or pre-syncope</t>
  </si>
  <si>
    <t xml:space="preserve">Patient has: Recent prolonged travel </t>
  </si>
  <si>
    <t>Patient does not have: cough</t>
  </si>
  <si>
    <t>Patient does not have: hemoptysis</t>
  </si>
  <si>
    <t>Patient does not have: leg swelling</t>
  </si>
  <si>
    <t>Patient does not have: calf pain</t>
  </si>
  <si>
    <t>Patient does not have: fever</t>
  </si>
  <si>
    <t>Patient does not have: prior trauma or injury</t>
  </si>
  <si>
    <t>Patient does not have: FH of connective tissue disease</t>
  </si>
  <si>
    <t>Patient does not have: recent altitude change</t>
  </si>
  <si>
    <t>Patient has: pain location behind sternum, middle of chest</t>
  </si>
  <si>
    <t>Patient does not have: change in exercise tolerance</t>
  </si>
  <si>
    <t>Patient does not have: history of stroke</t>
  </si>
  <si>
    <t>Patient has: acute onset chest pain 1 hour</t>
  </si>
  <si>
    <t>Patient has: onset of chest pain while walking</t>
  </si>
  <si>
    <t>Patient has: sudden onset of pain</t>
  </si>
  <si>
    <t>Patient does not have: prior episode of chest pain</t>
  </si>
  <si>
    <t>Patient has: takes amlodipine, lisinopril, metformin</t>
  </si>
  <si>
    <t xml:space="preserve">Patient does not have: recent surgery </t>
  </si>
  <si>
    <t>Patient does not have: cancer</t>
  </si>
  <si>
    <t>Patient does not have: tearing chest pain</t>
  </si>
  <si>
    <t>Patient does not have: radiation to the back</t>
  </si>
  <si>
    <t>Patient does not have: spasmodic character to symptoms</t>
  </si>
  <si>
    <t xml:space="preserve">Patient does not have: Burning character to symptoms </t>
  </si>
  <si>
    <t>Patient does not have: Pain after meals or when lying flat</t>
  </si>
  <si>
    <t>Patient does not have: Relief with antacids or PPI</t>
  </si>
  <si>
    <t>Patient does not have: Pain reproducible with swallowing</t>
  </si>
  <si>
    <t>Patient does not have: difficulty swallowing</t>
  </si>
  <si>
    <t>Patient does not have: rash</t>
  </si>
  <si>
    <t>Patient does not have: epigastric pain</t>
  </si>
  <si>
    <t>Patient does not have: heartburn or reflux</t>
  </si>
  <si>
    <t>Patient does not have: pain worse with movement</t>
  </si>
  <si>
    <t>Patient does not have: prior stress test or heart cath</t>
  </si>
  <si>
    <t>Patient does not have: history of autoimmune disease</t>
  </si>
  <si>
    <t>Patient does not have: history of renal failure</t>
  </si>
  <si>
    <t xml:space="preserve">Patient does not have: new neurologic symptoms </t>
  </si>
  <si>
    <t>Patient does not have: prior known aortic aneurysm</t>
  </si>
  <si>
    <t>Patient does not have: hiatal hernia</t>
  </si>
  <si>
    <t>Patient does not have: prior MI</t>
  </si>
  <si>
    <t>Patient does not have: known structural heart disease</t>
  </si>
  <si>
    <t>Patient does not have: FH of sudden cardiac death</t>
  </si>
  <si>
    <t>Patient does not have: episodic chest pain</t>
  </si>
  <si>
    <t>Patient does not have: globus sensation</t>
  </si>
  <si>
    <t>Patient does not have: weight gain</t>
  </si>
  <si>
    <t>Patient does not have: orthopnea</t>
  </si>
  <si>
    <t>Patient does not have: paroxysmal nocturnal dyspnea</t>
  </si>
  <si>
    <t>Patient does not have: nausea or vomiting</t>
  </si>
  <si>
    <t xml:space="preserve">Patient has: hypertension </t>
  </si>
  <si>
    <t>Patient has: diabetes</t>
  </si>
  <si>
    <t>Patient has: hyperlipidemia</t>
  </si>
  <si>
    <t>Patient has: a prior history of anxiety</t>
  </si>
  <si>
    <t>Patient has: takes amlodipine, metformin, atovastatin</t>
  </si>
  <si>
    <t>Patient has: family history of diabetes</t>
  </si>
  <si>
    <t>Patient has: recent stressful event</t>
  </si>
  <si>
    <t>Patient has: tachycardia</t>
  </si>
  <si>
    <t>Patient has: normal blood pressure</t>
  </si>
  <si>
    <t xml:space="preserve">Patient has: tachypnea </t>
  </si>
  <si>
    <t>Patient has: clear lung fields, normal pulmonary exam</t>
  </si>
  <si>
    <t>Patient does not have: lower extremity edema</t>
  </si>
  <si>
    <t>Patient does not have: calf tenderness</t>
  </si>
  <si>
    <t>Structural / Valvular</t>
  </si>
  <si>
    <t>Gastritis, Esophagitis</t>
  </si>
  <si>
    <t>Takotsubo / NICM</t>
  </si>
  <si>
    <t>Malignant pleural effusion</t>
  </si>
  <si>
    <t>Patient does not have: weight loss</t>
  </si>
  <si>
    <t>Acute Coronary Syndrome (e.g. myocardial infarction, unstable angina)</t>
  </si>
  <si>
    <t>Pneumothorax</t>
  </si>
  <si>
    <t>Supply/demand mismatch (e.g. acute bleed, sepsis)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</si>
</sst>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0" fillId="2" borderId="2" xfId="0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0" fillId="2" borderId="1" xfId="0" applyFill="1" applyBorder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5" fillId="5" borderId="5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3FABE"/>
      <color rgb="FF86B0E2"/>
      <color rgb="FFFDDBFE"/>
      <color rgb="FFFFCCFF"/>
      <color rgb="FF74B6DA"/>
      <color rgb="FF7FA3CF"/>
      <color rgb="FFCC9900"/>
      <color rgb="FF66FF33"/>
      <color rgb="FFFEC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F8B3-DB06-4BC7-8C83-DEB9B025E569}">
  <dimension ref="A1:BB132"/>
  <sheetViews>
    <sheetView tabSelected="1" zoomScale="75" zoomScaleNormal="75" workbookViewId="0">
      <selection activeCell="H10" sqref="H10"/>
    </sheetView>
  </sheetViews>
  <sheetFormatPr defaultRowHeight="15" x14ac:dyDescent="0.25"/>
  <cols>
    <col min="1" max="1" width="51.85546875" style="35" customWidth="1"/>
    <col min="2" max="2" width="20.42578125" customWidth="1"/>
    <col min="3" max="3" width="11" style="1" customWidth="1"/>
    <col min="4" max="4" width="12.42578125" style="1" customWidth="1"/>
    <col min="5" max="6" width="13.28515625" style="1" customWidth="1"/>
    <col min="7" max="7" width="9.85546875" customWidth="1"/>
    <col min="8" max="8" width="12.140625" style="1" customWidth="1"/>
    <col min="9" max="9" width="9.5703125" style="1" customWidth="1"/>
    <col min="10" max="10" width="11.28515625" style="1" customWidth="1"/>
    <col min="11" max="11" width="10.140625" style="1" customWidth="1"/>
    <col min="12" max="12" width="11.5703125" style="1" customWidth="1"/>
    <col min="13" max="13" width="14.140625" style="1" customWidth="1"/>
    <col min="14" max="14" width="11.28515625" style="1" customWidth="1"/>
    <col min="15" max="15" width="11.5703125" style="1" customWidth="1"/>
    <col min="16" max="16" width="12.5703125" style="1" customWidth="1"/>
    <col min="17" max="17" width="12" style="1" customWidth="1"/>
    <col min="18" max="18" width="7.42578125" style="3" customWidth="1"/>
    <col min="19" max="19" width="13.140625" style="1" customWidth="1"/>
    <col min="20" max="20" width="8.5703125" style="1" customWidth="1"/>
    <col min="21" max="21" width="13.140625" style="1" customWidth="1"/>
    <col min="22" max="22" width="9.140625" style="1"/>
    <col min="23" max="23" width="12.42578125" style="1" customWidth="1"/>
    <col min="24" max="24" width="14.5703125" style="1" customWidth="1"/>
    <col min="25" max="25" width="8.140625" style="1" customWidth="1"/>
    <col min="26" max="26" width="12.42578125" customWidth="1"/>
  </cols>
  <sheetData>
    <row r="1" spans="1:54" s="4" customFormat="1" ht="59.25" customHeight="1" thickBot="1" x14ac:dyDescent="0.3">
      <c r="B1" s="27" t="s">
        <v>99</v>
      </c>
      <c r="C1" s="28" t="s">
        <v>0</v>
      </c>
      <c r="D1" s="29" t="s">
        <v>1</v>
      </c>
      <c r="E1" s="28" t="s">
        <v>101</v>
      </c>
      <c r="F1" s="30" t="s">
        <v>2</v>
      </c>
      <c r="G1" s="31" t="s">
        <v>96</v>
      </c>
      <c r="H1" s="22" t="s">
        <v>3</v>
      </c>
      <c r="I1" s="22" t="s">
        <v>4</v>
      </c>
      <c r="J1" s="23" t="s">
        <v>94</v>
      </c>
      <c r="K1" s="16" t="s">
        <v>5</v>
      </c>
      <c r="L1" s="17" t="s">
        <v>100</v>
      </c>
      <c r="M1" s="17" t="s">
        <v>97</v>
      </c>
      <c r="N1" s="21" t="s">
        <v>6</v>
      </c>
      <c r="O1" s="25" t="s">
        <v>7</v>
      </c>
      <c r="P1" s="24" t="s">
        <v>8</v>
      </c>
      <c r="Q1" s="20" t="s">
        <v>95</v>
      </c>
      <c r="R1" s="18" t="s">
        <v>9</v>
      </c>
      <c r="S1" s="18" t="s">
        <v>10</v>
      </c>
      <c r="T1" s="19" t="s">
        <v>11</v>
      </c>
      <c r="U1" s="10"/>
      <c r="V1" s="10"/>
      <c r="W1" s="10"/>
      <c r="X1" s="9"/>
      <c r="Y1" s="1"/>
    </row>
    <row r="2" spans="1:54" ht="30.75" customHeight="1" x14ac:dyDescent="0.25">
      <c r="B2" s="1">
        <v>0.1</v>
      </c>
      <c r="C2" s="1">
        <v>9.7000000000000003E-2</v>
      </c>
      <c r="D2" s="1">
        <v>3.0000000000000001E-3</v>
      </c>
      <c r="E2" s="1">
        <v>0.01</v>
      </c>
      <c r="F2" s="1">
        <v>1E-3</v>
      </c>
      <c r="G2" s="1">
        <v>3.0000000000000001E-3</v>
      </c>
      <c r="H2" s="1">
        <v>6.0000000000000001E-3</v>
      </c>
      <c r="I2" s="1">
        <v>0.05</v>
      </c>
      <c r="J2" s="1">
        <v>0.01</v>
      </c>
      <c r="K2" s="1">
        <v>0.1</v>
      </c>
      <c r="L2" s="1">
        <v>2E-3</v>
      </c>
      <c r="M2" s="1">
        <v>1E-3</v>
      </c>
      <c r="N2" s="1">
        <v>0.05</v>
      </c>
      <c r="O2" s="1">
        <v>2E-3</v>
      </c>
      <c r="P2" s="1">
        <v>0.01</v>
      </c>
      <c r="Q2" s="1">
        <v>0.2</v>
      </c>
      <c r="R2" s="3">
        <v>7.0000000000000007E-2</v>
      </c>
      <c r="S2" s="1">
        <v>0.28000000000000003</v>
      </c>
      <c r="T2" s="1">
        <v>5.0000000000000001E-3</v>
      </c>
      <c r="U2" s="2">
        <f>SUM(B2:T2)</f>
        <v>1</v>
      </c>
      <c r="V2" s="2"/>
      <c r="W2" s="2"/>
      <c r="X2" s="2"/>
      <c r="Y2" s="2"/>
      <c r="Z2" s="32"/>
      <c r="AA2" s="33"/>
      <c r="AB2" s="33"/>
      <c r="AC2" s="33"/>
      <c r="AD2" s="33"/>
      <c r="AE2" s="33"/>
      <c r="AF2" s="33"/>
      <c r="AG2" s="33"/>
      <c r="AH2" s="33"/>
      <c r="AI2" s="33"/>
    </row>
    <row r="3" spans="1:54" s="1" customFormat="1" ht="26.1" customHeight="1" x14ac:dyDescent="0.25">
      <c r="A3" s="36"/>
      <c r="B3" s="6"/>
      <c r="C3" s="2"/>
      <c r="D3" s="2"/>
      <c r="E3" s="2"/>
      <c r="F3" s="2"/>
      <c r="H3" s="2"/>
      <c r="I3" s="2"/>
      <c r="J3" s="2"/>
      <c r="U3" s="2"/>
      <c r="V3" s="2"/>
      <c r="W3" s="2"/>
      <c r="X3" s="2"/>
      <c r="Z3" s="2"/>
    </row>
    <row r="4" spans="1:54" s="1" customFormat="1" x14ac:dyDescent="0.25">
      <c r="A4" s="4" t="s">
        <v>12</v>
      </c>
      <c r="B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Z4" s="2"/>
    </row>
    <row r="5" spans="1:54" s="1" customFormat="1" ht="18.75" x14ac:dyDescent="0.3">
      <c r="A5" s="35" t="s">
        <v>13</v>
      </c>
      <c r="B5" s="12"/>
      <c r="C5" s="13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34"/>
      <c r="V5" s="34"/>
      <c r="W5" s="34"/>
      <c r="X5" s="34"/>
      <c r="Z5" s="2"/>
    </row>
    <row r="6" spans="1:54" s="1" customFormat="1" x14ac:dyDescent="0.25">
      <c r="A6" s="35" t="s">
        <v>14</v>
      </c>
      <c r="B6" s="12"/>
      <c r="C6" s="1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Z6" s="2"/>
    </row>
    <row r="7" spans="1:54" s="1" customFormat="1" ht="14.25" customHeight="1" x14ac:dyDescent="0.3">
      <c r="A7" s="35" t="s">
        <v>15</v>
      </c>
      <c r="B7" s="12"/>
      <c r="C7" s="13"/>
      <c r="D7" s="2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2"/>
      <c r="V7" s="2"/>
      <c r="W7" s="2"/>
      <c r="X7" s="2"/>
      <c r="Z7" s="2"/>
    </row>
    <row r="8" spans="1:54" s="1" customFormat="1" ht="14.25" customHeight="1" x14ac:dyDescent="0.3">
      <c r="A8" s="35" t="s">
        <v>16</v>
      </c>
      <c r="B8" s="12"/>
      <c r="C8" s="13"/>
      <c r="D8" s="8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Z8" s="2"/>
    </row>
    <row r="9" spans="1:54" s="1" customFormat="1" ht="17.25" customHeight="1" x14ac:dyDescent="0.3">
      <c r="A9" s="37" t="s">
        <v>17</v>
      </c>
      <c r="B9" s="14"/>
      <c r="C9" s="13"/>
      <c r="D9" s="8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Z9" s="2"/>
    </row>
    <row r="10" spans="1:54" s="1" customFormat="1" ht="15" customHeight="1" x14ac:dyDescent="0.3">
      <c r="A10" s="37" t="s">
        <v>18</v>
      </c>
      <c r="B10" s="14"/>
      <c r="C10" s="1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2"/>
      <c r="R10" s="2"/>
      <c r="S10" s="2"/>
      <c r="T10" s="2"/>
      <c r="U10" s="2"/>
      <c r="V10" s="2"/>
      <c r="W10" s="2"/>
      <c r="X10" s="2"/>
      <c r="Z10" s="2"/>
    </row>
    <row r="11" spans="1:54" s="1" customFormat="1" ht="12.75" customHeight="1" x14ac:dyDescent="0.3">
      <c r="A11" s="37" t="s">
        <v>19</v>
      </c>
      <c r="B11" s="14"/>
      <c r="C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2"/>
      <c r="R11" s="2"/>
      <c r="S11" s="2"/>
      <c r="T11" s="2"/>
      <c r="U11" s="2"/>
      <c r="V11" s="2"/>
      <c r="W11" s="2"/>
      <c r="X11" s="2"/>
      <c r="Z11" s="2"/>
    </row>
    <row r="12" spans="1:54" x14ac:dyDescent="0.25">
      <c r="A12" s="37" t="s">
        <v>20</v>
      </c>
      <c r="B12" s="14"/>
      <c r="C12" s="13"/>
    </row>
    <row r="13" spans="1:54" x14ac:dyDescent="0.25">
      <c r="A13" s="35" t="s">
        <v>21</v>
      </c>
      <c r="B13" s="12"/>
      <c r="C13" s="13"/>
      <c r="G13" s="4"/>
    </row>
    <row r="14" spans="1:54" x14ac:dyDescent="0.25">
      <c r="A14" s="35" t="s">
        <v>22</v>
      </c>
      <c r="B14" s="12"/>
      <c r="C14" s="13"/>
    </row>
    <row r="15" spans="1:54" x14ac:dyDescent="0.25">
      <c r="A15" s="35" t="s">
        <v>23</v>
      </c>
      <c r="B15" s="12"/>
      <c r="C15" s="13"/>
    </row>
    <row r="16" spans="1:54" s="1" customFormat="1" x14ac:dyDescent="0.25">
      <c r="A16" s="35" t="s">
        <v>24</v>
      </c>
      <c r="B16" s="12"/>
      <c r="C16" s="13"/>
      <c r="G16"/>
      <c r="R16" s="3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54" s="1" customFormat="1" x14ac:dyDescent="0.25">
      <c r="A17" s="35" t="s">
        <v>25</v>
      </c>
      <c r="B17" s="12"/>
      <c r="C17" s="13"/>
      <c r="G17"/>
      <c r="R17" s="3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54" s="1" customFormat="1" x14ac:dyDescent="0.25">
      <c r="A18" s="38" t="s">
        <v>26</v>
      </c>
      <c r="B18" s="15"/>
      <c r="C18" s="13"/>
      <c r="G18"/>
      <c r="R18" s="3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54" s="1" customFormat="1" x14ac:dyDescent="0.25">
      <c r="A19" s="37" t="s">
        <v>27</v>
      </c>
      <c r="B19" s="14"/>
      <c r="C19" s="13"/>
      <c r="G19"/>
      <c r="R19" s="3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54" s="1" customFormat="1" x14ac:dyDescent="0.25">
      <c r="A20" s="37" t="s">
        <v>28</v>
      </c>
      <c r="B20" s="14"/>
      <c r="C20" s="13"/>
      <c r="G20"/>
      <c r="R20" s="3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 spans="1:54" s="1" customFormat="1" x14ac:dyDescent="0.25">
      <c r="A21" s="38" t="s">
        <v>29</v>
      </c>
      <c r="B21" s="15"/>
      <c r="C21" s="13"/>
      <c r="G21"/>
      <c r="R21" s="3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 spans="1:54" s="1" customFormat="1" x14ac:dyDescent="0.25">
      <c r="A22" s="37" t="s">
        <v>30</v>
      </c>
      <c r="B22" s="14"/>
      <c r="C22" s="13"/>
      <c r="G22"/>
      <c r="R22" s="3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 spans="1:54" s="1" customFormat="1" x14ac:dyDescent="0.25">
      <c r="A23" s="38" t="s">
        <v>31</v>
      </c>
      <c r="B23" s="15"/>
      <c r="C23" s="13"/>
      <c r="G23"/>
      <c r="R23" s="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</row>
    <row r="24" spans="1:54" s="1" customFormat="1" x14ac:dyDescent="0.25">
      <c r="A24" s="35" t="s">
        <v>32</v>
      </c>
      <c r="B24" s="12"/>
      <c r="C24" s="13"/>
      <c r="G24"/>
      <c r="R24" s="3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 spans="1:54" s="1" customFormat="1" x14ac:dyDescent="0.25">
      <c r="A25" s="38" t="s">
        <v>33</v>
      </c>
      <c r="B25" s="15"/>
      <c r="C25" s="13"/>
      <c r="G25"/>
      <c r="R25" s="3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4" s="1" customFormat="1" x14ac:dyDescent="0.25">
      <c r="A26" s="35" t="s">
        <v>34</v>
      </c>
      <c r="B26" s="12"/>
      <c r="C26" s="13"/>
      <c r="G26"/>
      <c r="R26" s="3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54" s="1" customFormat="1" x14ac:dyDescent="0.25">
      <c r="A27" s="38" t="s">
        <v>35</v>
      </c>
      <c r="B27" s="15"/>
      <c r="C27" s="13"/>
      <c r="G27"/>
      <c r="R27" s="3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4" s="1" customFormat="1" x14ac:dyDescent="0.25">
      <c r="A28" s="35" t="s">
        <v>36</v>
      </c>
      <c r="B28" s="12"/>
      <c r="C28" s="13"/>
      <c r="G28"/>
      <c r="R28" s="3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4" s="1" customFormat="1" x14ac:dyDescent="0.25">
      <c r="A29" s="35" t="s">
        <v>37</v>
      </c>
      <c r="B29" s="12"/>
      <c r="C29" s="13"/>
      <c r="G29"/>
      <c r="R29" s="3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s="1" customFormat="1" x14ac:dyDescent="0.25">
      <c r="A30" s="35" t="s">
        <v>38</v>
      </c>
      <c r="B30" s="12"/>
      <c r="C30" s="13"/>
      <c r="G30"/>
      <c r="R30" s="3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54" s="1" customFormat="1" x14ac:dyDescent="0.25">
      <c r="A31" s="35" t="s">
        <v>39</v>
      </c>
      <c r="B31" s="12"/>
      <c r="C31" s="13"/>
      <c r="G31"/>
      <c r="R31" s="3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54" s="1" customFormat="1" x14ac:dyDescent="0.25">
      <c r="A32" s="35" t="s">
        <v>40</v>
      </c>
      <c r="B32" s="12"/>
      <c r="C32" s="13"/>
      <c r="G32"/>
      <c r="R32" s="3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54" s="1" customFormat="1" x14ac:dyDescent="0.25">
      <c r="A33" s="35" t="s">
        <v>41</v>
      </c>
      <c r="B33" s="12"/>
      <c r="C33" s="13"/>
      <c r="G33"/>
      <c r="R33" s="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54" s="1" customFormat="1" x14ac:dyDescent="0.25">
      <c r="A34" s="35" t="s">
        <v>42</v>
      </c>
      <c r="B34" s="12"/>
      <c r="C34" s="13"/>
      <c r="G34"/>
      <c r="R34" s="3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4" s="1" customFormat="1" x14ac:dyDescent="0.25">
      <c r="A35" s="35" t="s">
        <v>43</v>
      </c>
      <c r="B35" s="12"/>
      <c r="C35" s="13"/>
      <c r="G35"/>
      <c r="R35" s="3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54" s="1" customFormat="1" x14ac:dyDescent="0.25">
      <c r="A36" s="35" t="s">
        <v>44</v>
      </c>
      <c r="B36" s="12"/>
      <c r="C36" s="13"/>
      <c r="G36"/>
      <c r="R36" s="3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s="1" customFormat="1" x14ac:dyDescent="0.25">
      <c r="A37" s="35" t="s">
        <v>45</v>
      </c>
      <c r="B37" s="12"/>
      <c r="C37" s="13"/>
      <c r="G37"/>
      <c r="R37" s="3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54" s="1" customFormat="1" x14ac:dyDescent="0.25">
      <c r="A38" s="35" t="s">
        <v>46</v>
      </c>
      <c r="B38" s="12"/>
      <c r="C38" s="13"/>
      <c r="G38"/>
      <c r="R38" s="3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4" s="1" customFormat="1" x14ac:dyDescent="0.25">
      <c r="A39" s="35" t="s">
        <v>47</v>
      </c>
      <c r="B39" s="12"/>
      <c r="C39" s="13"/>
      <c r="G39"/>
      <c r="R39" s="3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 spans="1:54" s="1" customFormat="1" x14ac:dyDescent="0.25">
      <c r="A40" s="35" t="s">
        <v>48</v>
      </c>
      <c r="B40" s="12"/>
      <c r="C40" s="13"/>
      <c r="G40"/>
      <c r="R40" s="3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 spans="1:54" s="1" customFormat="1" x14ac:dyDescent="0.25">
      <c r="A41" s="35" t="s">
        <v>49</v>
      </c>
      <c r="B41" s="12"/>
      <c r="C41" s="13"/>
      <c r="G41"/>
      <c r="R41" s="3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4" s="1" customFormat="1" x14ac:dyDescent="0.25">
      <c r="A42" s="35" t="s">
        <v>50</v>
      </c>
      <c r="B42" s="12"/>
      <c r="C42" s="13"/>
      <c r="G42"/>
      <c r="R42" s="3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 spans="1:54" s="1" customFormat="1" x14ac:dyDescent="0.25">
      <c r="A43" s="35" t="s">
        <v>51</v>
      </c>
      <c r="B43" s="12"/>
      <c r="C43" s="13"/>
      <c r="G43"/>
      <c r="R43" s="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 spans="1:54" s="1" customFormat="1" x14ac:dyDescent="0.25">
      <c r="A44" s="35" t="s">
        <v>52</v>
      </c>
      <c r="B44" s="12"/>
      <c r="C44" s="13"/>
      <c r="G44"/>
      <c r="R44" s="3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 spans="1:54" s="1" customFormat="1" x14ac:dyDescent="0.25">
      <c r="A45" s="35" t="s">
        <v>53</v>
      </c>
      <c r="B45" s="12"/>
      <c r="C45" s="13"/>
      <c r="G45"/>
      <c r="R45" s="3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 spans="1:54" s="1" customFormat="1" x14ac:dyDescent="0.25">
      <c r="A46" s="35" t="s">
        <v>54</v>
      </c>
      <c r="B46" s="12"/>
      <c r="C46" s="13"/>
      <c r="G46"/>
      <c r="R46" s="3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 spans="1:54" s="1" customFormat="1" x14ac:dyDescent="0.25">
      <c r="A47" s="35" t="s">
        <v>55</v>
      </c>
      <c r="B47" s="12"/>
      <c r="C47" s="13"/>
      <c r="G47"/>
      <c r="R47" s="3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54" s="1" customFormat="1" x14ac:dyDescent="0.25">
      <c r="A48" s="35" t="s">
        <v>56</v>
      </c>
      <c r="B48" s="12"/>
      <c r="C48" s="13"/>
      <c r="G48"/>
      <c r="R48" s="3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1:54" s="1" customFormat="1" x14ac:dyDescent="0.25">
      <c r="A49" s="38" t="s">
        <v>57</v>
      </c>
      <c r="B49" s="15"/>
      <c r="C49" s="13"/>
      <c r="G49"/>
      <c r="R49" s="3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1:54" s="1" customFormat="1" x14ac:dyDescent="0.25">
      <c r="A50" s="38" t="s">
        <v>58</v>
      </c>
      <c r="B50" s="15"/>
      <c r="C50" s="13"/>
      <c r="G50"/>
      <c r="R50" s="3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 spans="1:54" s="1" customFormat="1" x14ac:dyDescent="0.25">
      <c r="A51" s="38" t="s">
        <v>59</v>
      </c>
      <c r="B51" s="15"/>
      <c r="C51" s="13"/>
      <c r="G51"/>
      <c r="R51" s="3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 spans="1:54" s="1" customFormat="1" x14ac:dyDescent="0.25">
      <c r="A52" s="38" t="s">
        <v>60</v>
      </c>
      <c r="B52" s="15"/>
      <c r="C52" s="13"/>
      <c r="G52"/>
      <c r="R52" s="3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 spans="1:54" s="1" customFormat="1" x14ac:dyDescent="0.25">
      <c r="A53" s="35" t="s">
        <v>61</v>
      </c>
      <c r="B53" s="12"/>
      <c r="C53" s="13"/>
      <c r="G53"/>
      <c r="R53" s="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 spans="1:54" s="1" customFormat="1" x14ac:dyDescent="0.25">
      <c r="A54" s="37" t="s">
        <v>62</v>
      </c>
      <c r="B54" s="14"/>
      <c r="C54" s="13"/>
      <c r="G54"/>
      <c r="R54" s="3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 spans="1:54" s="1" customFormat="1" x14ac:dyDescent="0.25">
      <c r="A55" s="35" t="s">
        <v>63</v>
      </c>
      <c r="B55" s="12"/>
      <c r="C55" s="13"/>
      <c r="G55"/>
      <c r="R55" s="3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 spans="1:54" s="1" customFormat="1" x14ac:dyDescent="0.25">
      <c r="A56" s="35" t="s">
        <v>64</v>
      </c>
      <c r="B56" s="12"/>
      <c r="C56" s="13"/>
      <c r="G56"/>
      <c r="R56" s="3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54" s="1" customFormat="1" x14ac:dyDescent="0.25">
      <c r="A57" s="35" t="s">
        <v>65</v>
      </c>
      <c r="B57" s="12"/>
      <c r="C57" s="13"/>
      <c r="G57"/>
      <c r="R57" s="3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54" s="1" customFormat="1" x14ac:dyDescent="0.25">
      <c r="A58" s="35" t="s">
        <v>66</v>
      </c>
      <c r="B58" s="12"/>
      <c r="C58" s="13"/>
      <c r="G58"/>
      <c r="R58" s="3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 spans="1:54" s="1" customFormat="1" x14ac:dyDescent="0.25">
      <c r="A59" s="35" t="s">
        <v>67</v>
      </c>
      <c r="B59" s="12"/>
      <c r="C59" s="13"/>
      <c r="G59"/>
      <c r="R59" s="3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 spans="1:54" s="1" customFormat="1" x14ac:dyDescent="0.25">
      <c r="A60" s="35" t="s">
        <v>68</v>
      </c>
      <c r="B60" s="12"/>
      <c r="C60" s="13"/>
      <c r="G60"/>
      <c r="R60" s="3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 spans="1:54" s="1" customFormat="1" x14ac:dyDescent="0.25">
      <c r="A61" s="35" t="s">
        <v>69</v>
      </c>
      <c r="B61" s="12"/>
      <c r="C61" s="13"/>
      <c r="G61"/>
      <c r="R61" s="3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 spans="1:54" s="1" customFormat="1" x14ac:dyDescent="0.25">
      <c r="A62" s="35" t="s">
        <v>70</v>
      </c>
      <c r="B62" s="12"/>
      <c r="C62" s="13"/>
      <c r="G62"/>
      <c r="R62" s="3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 spans="1:54" s="1" customFormat="1" x14ac:dyDescent="0.25">
      <c r="A63" s="35" t="s">
        <v>71</v>
      </c>
      <c r="B63" s="12"/>
      <c r="C63" s="13"/>
      <c r="G63"/>
      <c r="R63" s="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 spans="1:54" s="1" customFormat="1" x14ac:dyDescent="0.25">
      <c r="A64" s="35" t="s">
        <v>72</v>
      </c>
      <c r="B64"/>
      <c r="G64"/>
      <c r="R64" s="3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 spans="1:54" s="1" customFormat="1" x14ac:dyDescent="0.25">
      <c r="A65" s="35" t="s">
        <v>73</v>
      </c>
      <c r="B65"/>
      <c r="G65"/>
      <c r="R65" s="3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4" s="1" customFormat="1" x14ac:dyDescent="0.25">
      <c r="A66" s="35" t="s">
        <v>74</v>
      </c>
      <c r="B66"/>
      <c r="G66" s="4"/>
      <c r="R66" s="3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54" s="1" customFormat="1" x14ac:dyDescent="0.25">
      <c r="A67" s="35" t="s">
        <v>75</v>
      </c>
      <c r="B67"/>
      <c r="G67"/>
      <c r="R67" s="3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</row>
    <row r="68" spans="1:54" s="1" customFormat="1" x14ac:dyDescent="0.25">
      <c r="A68" s="35" t="s">
        <v>76</v>
      </c>
      <c r="B68"/>
      <c r="G68"/>
      <c r="R68" s="3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</row>
    <row r="69" spans="1:54" s="1" customFormat="1" x14ac:dyDescent="0.25">
      <c r="A69" s="35" t="s">
        <v>77</v>
      </c>
      <c r="B69"/>
      <c r="G69"/>
      <c r="R69" s="3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</row>
    <row r="70" spans="1:54" s="1" customFormat="1" x14ac:dyDescent="0.25">
      <c r="A70" s="35" t="s">
        <v>98</v>
      </c>
      <c r="B70"/>
      <c r="G70"/>
      <c r="R70" s="3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</row>
    <row r="71" spans="1:54" s="1" customFormat="1" x14ac:dyDescent="0.25">
      <c r="A71" s="35" t="s">
        <v>78</v>
      </c>
      <c r="B71"/>
      <c r="G71"/>
      <c r="R71" s="3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</row>
    <row r="72" spans="1:54" s="1" customFormat="1" x14ac:dyDescent="0.25">
      <c r="A72" s="35" t="s">
        <v>79</v>
      </c>
      <c r="B72"/>
      <c r="G72"/>
      <c r="R72" s="3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</row>
    <row r="73" spans="1:54" s="1" customFormat="1" x14ac:dyDescent="0.25">
      <c r="A73" s="35" t="s">
        <v>80</v>
      </c>
      <c r="B73"/>
      <c r="G73" s="4"/>
      <c r="R73" s="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</row>
    <row r="74" spans="1:54" s="1" customFormat="1" x14ac:dyDescent="0.25">
      <c r="A74" s="35" t="s">
        <v>81</v>
      </c>
      <c r="B74"/>
      <c r="G74"/>
      <c r="R74" s="3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</row>
    <row r="75" spans="1:54" s="1" customFormat="1" x14ac:dyDescent="0.25">
      <c r="A75" s="35" t="s">
        <v>82</v>
      </c>
      <c r="B75"/>
      <c r="G75"/>
      <c r="R75" s="3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</row>
    <row r="76" spans="1:54" s="1" customFormat="1" x14ac:dyDescent="0.25">
      <c r="A76" s="35" t="s">
        <v>83</v>
      </c>
      <c r="B76"/>
      <c r="G76"/>
      <c r="R76" s="3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</row>
    <row r="77" spans="1:54" s="1" customFormat="1" x14ac:dyDescent="0.25">
      <c r="A77" s="35" t="s">
        <v>84</v>
      </c>
      <c r="B77"/>
      <c r="G77"/>
      <c r="R77" s="3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</row>
    <row r="78" spans="1:54" s="1" customFormat="1" x14ac:dyDescent="0.25">
      <c r="A78" s="35" t="s">
        <v>85</v>
      </c>
      <c r="B78"/>
      <c r="G78" s="4"/>
      <c r="R78" s="3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</row>
    <row r="79" spans="1:54" s="1" customFormat="1" x14ac:dyDescent="0.25">
      <c r="A79" s="35" t="s">
        <v>86</v>
      </c>
      <c r="B79"/>
      <c r="G79"/>
      <c r="R79" s="3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</row>
    <row r="80" spans="1:54" s="1" customFormat="1" x14ac:dyDescent="0.25">
      <c r="A80" s="35" t="s">
        <v>87</v>
      </c>
      <c r="B80"/>
      <c r="G80"/>
      <c r="R80" s="3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</row>
    <row r="81" spans="1:54" s="1" customFormat="1" x14ac:dyDescent="0.25">
      <c r="A81" s="35" t="s">
        <v>88</v>
      </c>
      <c r="B81"/>
      <c r="G81"/>
      <c r="R81" s="3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</row>
    <row r="82" spans="1:54" s="1" customFormat="1" x14ac:dyDescent="0.25">
      <c r="A82" s="35" t="s">
        <v>89</v>
      </c>
      <c r="B82"/>
      <c r="G82"/>
      <c r="R82" s="3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</row>
    <row r="83" spans="1:54" s="1" customFormat="1" x14ac:dyDescent="0.25">
      <c r="A83" s="35" t="s">
        <v>90</v>
      </c>
      <c r="B83"/>
      <c r="G83"/>
      <c r="R83" s="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</row>
    <row r="84" spans="1:54" s="1" customFormat="1" ht="18" x14ac:dyDescent="0.3">
      <c r="A84" s="35" t="s">
        <v>91</v>
      </c>
      <c r="B84"/>
      <c r="G84" s="11"/>
      <c r="R84" s="3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</row>
    <row r="85" spans="1:54" s="1" customFormat="1" x14ac:dyDescent="0.25">
      <c r="A85" s="35" t="s">
        <v>92</v>
      </c>
      <c r="B85"/>
      <c r="G85" s="4"/>
      <c r="R85" s="3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</row>
    <row r="86" spans="1:54" s="1" customFormat="1" x14ac:dyDescent="0.25">
      <c r="A86" s="35" t="s">
        <v>93</v>
      </c>
      <c r="B86"/>
      <c r="G86"/>
      <c r="R86" s="3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</row>
    <row r="94" spans="1:54" s="1" customFormat="1" x14ac:dyDescent="0.25">
      <c r="A94" s="35"/>
      <c r="B94"/>
      <c r="G94" s="4"/>
      <c r="R94" s="3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</row>
    <row r="97" spans="1:25" s="7" customFormat="1" x14ac:dyDescent="0.25">
      <c r="A97" s="39"/>
      <c r="C97" s="3"/>
      <c r="D97" s="3"/>
      <c r="E97" s="3"/>
      <c r="F97" s="26"/>
      <c r="G97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s="7" customFormat="1" x14ac:dyDescent="0.25">
      <c r="A98" s="39"/>
      <c r="C98" s="3"/>
      <c r="D98" s="3"/>
      <c r="E98" s="3"/>
      <c r="F98" s="26"/>
      <c r="G98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s="7" customFormat="1" x14ac:dyDescent="0.25">
      <c r="A99" s="39"/>
      <c r="C99" s="3"/>
      <c r="D99" s="3"/>
      <c r="E99" s="3"/>
      <c r="F99" s="26"/>
      <c r="G99" s="4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s="7" customFormat="1" x14ac:dyDescent="0.25">
      <c r="A100" s="39"/>
      <c r="C100" s="3"/>
      <c r="D100" s="3"/>
      <c r="E100" s="3"/>
      <c r="F100" s="26"/>
      <c r="G100"/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5">
      <c r="R101" s="5"/>
    </row>
    <row r="103" spans="1:25" x14ac:dyDescent="0.25">
      <c r="H103" s="3"/>
    </row>
    <row r="104" spans="1:25" x14ac:dyDescent="0.25">
      <c r="H104" s="3"/>
    </row>
    <row r="105" spans="1:25" ht="18" x14ac:dyDescent="0.3">
      <c r="G105" s="11"/>
      <c r="H105" s="3"/>
    </row>
    <row r="106" spans="1:25" x14ac:dyDescent="0.25">
      <c r="G106" s="4"/>
      <c r="H106" s="3"/>
    </row>
    <row r="111" spans="1:25" ht="18" x14ac:dyDescent="0.3">
      <c r="G111" s="11"/>
    </row>
    <row r="112" spans="1:25" x14ac:dyDescent="0.25">
      <c r="G112" s="4"/>
    </row>
    <row r="118" spans="1:54" s="1" customFormat="1" ht="18" x14ac:dyDescent="0.3">
      <c r="A118" s="35"/>
      <c r="B118"/>
      <c r="G118" s="11"/>
      <c r="R118" s="3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</row>
    <row r="119" spans="1:54" s="1" customFormat="1" x14ac:dyDescent="0.25">
      <c r="A119" s="35"/>
      <c r="B119"/>
      <c r="G119" s="4"/>
      <c r="R119" s="3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</row>
    <row r="125" spans="1:54" s="1" customFormat="1" ht="18" x14ac:dyDescent="0.3">
      <c r="A125" s="35"/>
      <c r="B125"/>
      <c r="G125" s="11"/>
      <c r="R125" s="3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</row>
    <row r="126" spans="1:54" s="1" customFormat="1" x14ac:dyDescent="0.25">
      <c r="A126" s="35"/>
      <c r="B126"/>
      <c r="G126" s="4"/>
      <c r="R126" s="3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</row>
    <row r="131" spans="1:54" s="1" customFormat="1" ht="18" x14ac:dyDescent="0.3">
      <c r="A131" s="35"/>
      <c r="B131"/>
      <c r="G131" s="11"/>
      <c r="R131" s="3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</row>
    <row r="132" spans="1:54" s="1" customFormat="1" x14ac:dyDescent="0.25">
      <c r="A132" s="35"/>
      <c r="B132"/>
      <c r="G132" s="4"/>
      <c r="R132" s="3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</sheetData>
  <mergeCells count="2">
    <mergeCell ref="Z2:AI2"/>
    <mergeCell ref="U5:X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A99DD1166D44BBD210E96E418F6AB" ma:contentTypeVersion="13" ma:contentTypeDescription="Create a new document." ma:contentTypeScope="" ma:versionID="b435ba21574b32689f4b1e4fa50d3047">
  <xsd:schema xmlns:xsd="http://www.w3.org/2001/XMLSchema" xmlns:xs="http://www.w3.org/2001/XMLSchema" xmlns:p="http://schemas.microsoft.com/office/2006/metadata/properties" xmlns:ns2="0191bfee-3821-4267-8a0b-0965070efae2" xmlns:ns3="e58bccec-fd6d-4ccd-8558-bf18fb827d2e" targetNamespace="http://schemas.microsoft.com/office/2006/metadata/properties" ma:root="true" ma:fieldsID="485e8f3b25df01f92f4fc29db1bb42ec" ns2:_="" ns3:_="">
    <xsd:import namespace="0191bfee-3821-4267-8a0b-0965070efae2"/>
    <xsd:import namespace="e58bccec-fd6d-4ccd-8558-bf18fb827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1bfee-3821-4267-8a0b-0965070efa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1d4a69-9812-4340-96bf-3c60240190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8bccec-fd6d-4ccd-8558-bf18fb827d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bb4692-ec23-4cbe-ab6a-d6250ec5b075}" ma:internalName="TaxCatchAll" ma:showField="CatchAllData" ma:web="e58bccec-fd6d-4ccd-8558-bf18fb827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91bfee-3821-4267-8a0b-0965070efae2">
      <Terms xmlns="http://schemas.microsoft.com/office/infopath/2007/PartnerControls"/>
    </lcf76f155ced4ddcb4097134ff3c332f>
    <TaxCatchAll xmlns="e58bccec-fd6d-4ccd-8558-bf18fb827d2e" xsi:nil="true"/>
  </documentManagement>
</p:properties>
</file>

<file path=customXml/itemProps1.xml><?xml version="1.0" encoding="utf-8"?>
<ds:datastoreItem xmlns:ds="http://schemas.openxmlformats.org/officeDocument/2006/customXml" ds:itemID="{4CC09327-BC44-43AD-AD5F-F86A92BD6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91bfee-3821-4267-8a0b-0965070efae2"/>
    <ds:schemaRef ds:uri="e58bccec-fd6d-4ccd-8558-bf18fb827d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862653-BBEC-48CB-8F40-F5A995FA1A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E00480-5059-4079-ACE2-2D686BA571C2}">
  <ds:schemaRefs>
    <ds:schemaRef ds:uri="http://schemas.microsoft.com/office/2006/metadata/properties"/>
    <ds:schemaRef ds:uri="http://schemas.microsoft.com/office/infopath/2007/PartnerControls"/>
    <ds:schemaRef ds:uri="0191bfee-3821-4267-8a0b-0965070efae2"/>
    <ds:schemaRef ds:uri="e58bccec-fd6d-4ccd-8558-bf18fb827d2e"/>
  </ds:schemaRefs>
</ds:datastoreItem>
</file>

<file path=docMetadata/LabelInfo.xml><?xml version="1.0" encoding="utf-8"?>
<clbl:labelList xmlns:clbl="http://schemas.microsoft.com/office/2020/mipLabelMetadata">
  <clbl:label id="{84a28940-b464-41c3-ba3b-b4fa6665bc05}" enabled="0" method="" siteId="{84a28940-b464-41c3-ba3b-b4fa6665b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 possibilities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Rohlfsen, Cory J</cp:lastModifiedBy>
  <cp:revision/>
  <dcterms:created xsi:type="dcterms:W3CDTF">2025-06-07T10:58:50Z</dcterms:created>
  <dcterms:modified xsi:type="dcterms:W3CDTF">2026-02-22T17:43:51Z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0x010100861A99DD1166D44BBD210E96E418F6AB</vt:lpwstr>
  </property>
  <property fmtid="{D5CDD505-2E9C-101B-9397-08002B2CF9AE}" pid="3" name="MediaServiceImageTags">
    <vt:lpwstr/>
  </property>
</Properties>
</file>