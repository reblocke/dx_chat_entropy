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nebrmedcntr-my.sharepoint.com/personal/cory_rohlfsen_unmc_edu/Documents/ChatBot GPT test files/UVA cases x 3/"/>
    </mc:Choice>
  </mc:AlternateContent>
  <xr:revisionPtr revIDLastSave="17" documentId="8_{D9B62A89-EC9A-49F5-8A23-35F75ABD23ED}" xr6:coauthVersionLast="47" xr6:coauthVersionMax="47" xr10:uidLastSave="{81F199CB-BC04-4722-AD5F-7FFE4DD421B2}"/>
  <bookViews>
    <workbookView xWindow="-120" yWindow="-120" windowWidth="29040" windowHeight="15720" xr2:uid="{CD1D9601-AA66-4F54-A0FC-47BED319A26B}"/>
  </bookViews>
  <sheets>
    <sheet name="Tier 1" sheetId="1" r:id="rId1"/>
    <sheet name="Overlapping fea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<sst xmlns="http://schemas.openxmlformats.org/spreadsheetml/2006/main" count="163" uniqueCount="112">
  <si>
    <t>Diabetes</t>
  </si>
  <si>
    <t>Vascular disease (Except T2DM)</t>
  </si>
  <si>
    <t>Psychological</t>
  </si>
  <si>
    <t>Medication/substance</t>
  </si>
  <si>
    <t>Patient has: trouble with erection</t>
  </si>
  <si>
    <t>Patient has: age 50-70 years</t>
  </si>
  <si>
    <t>Patient has: male sex and anatomy</t>
  </si>
  <si>
    <t>Patient has: trouble getting erections</t>
  </si>
  <si>
    <t>Patient has: trouble keeping erections</t>
  </si>
  <si>
    <t>Patient has: duration of 6 months of trouble with erections</t>
  </si>
  <si>
    <t>Patient does not have: pain related to erections</t>
  </si>
  <si>
    <t>Patient has: frustration related to erectile dysfunction</t>
  </si>
  <si>
    <t xml:space="preserve">Patient has: progressive erectile dysfunction </t>
  </si>
  <si>
    <t>Patient has: been unable to get an erection for one month</t>
  </si>
  <si>
    <t>Patient has: improved erection after taking friend's medication for ED</t>
  </si>
  <si>
    <t>Patient does not have: regular check ups or labs</t>
  </si>
  <si>
    <t>Patient has: polyuria</t>
  </si>
  <si>
    <t>Patient has: polydipsia</t>
  </si>
  <si>
    <t>Patient has: 1 year of polyuria and polydipsia</t>
  </si>
  <si>
    <t>Patient has: increased thirst</t>
  </si>
  <si>
    <t>Patient has: increased water intake without improvement in thrist</t>
  </si>
  <si>
    <t>Patient has: increased urination (10 times per day)</t>
  </si>
  <si>
    <t>Patient has: nocturia (couple times at night)</t>
  </si>
  <si>
    <t xml:space="preserve">Patient has: worsening polyria and polydipsia </t>
  </si>
  <si>
    <t>Patient has: claudication</t>
  </si>
  <si>
    <t>Patient has: 1 year of claudication</t>
  </si>
  <si>
    <t>Patient has: aching in both calves with ambulation more than 1 block</t>
  </si>
  <si>
    <t>Patient has: relief of cluadication with rest</t>
  </si>
  <si>
    <t>Patient has: worsening of claudication</t>
  </si>
  <si>
    <t>Patient has: paresthesias in toes</t>
  </si>
  <si>
    <t>Patient has: 6 months of paresthesias</t>
  </si>
  <si>
    <t>Patient has: constant paresthesias throughout the day</t>
  </si>
  <si>
    <t>Patient does not have: paresthesias in other parts of body (outside feet)</t>
  </si>
  <si>
    <t>Patient does not have: relief of paresthesias with elevation of feet</t>
  </si>
  <si>
    <t>Patient does not have: relief of paresthesias with compression socks</t>
  </si>
  <si>
    <t>Patient has: worsening of paresthesias</t>
  </si>
  <si>
    <t>Patient has: headaches</t>
  </si>
  <si>
    <t>Patient has: 2 years of headaches</t>
  </si>
  <si>
    <t>Patient has: tension in back of head (character of headaches)</t>
  </si>
  <si>
    <t>Patient has: 1-2 headaches per week</t>
  </si>
  <si>
    <t>Patient has: more headaches if work is stressful</t>
  </si>
  <si>
    <t>Patient has: headaches later in the day</t>
  </si>
  <si>
    <t>Patient has: moderately painful headaches (4/10)</t>
  </si>
  <si>
    <t>Patient has: relief of headache with acetaminophen</t>
  </si>
  <si>
    <t>Patient has: no change in headache pattern</t>
  </si>
  <si>
    <t>Patient does not have: blurry vision</t>
  </si>
  <si>
    <t>Patient does not have: chest pain</t>
  </si>
  <si>
    <t>Patient does not have: shortness of breath</t>
  </si>
  <si>
    <t>Patient does not have: dyspnea</t>
  </si>
  <si>
    <t>Patient does not have: lightheadedness</t>
  </si>
  <si>
    <t>Patient does not have: depression</t>
  </si>
  <si>
    <t>Patient does not have: dysuria</t>
  </si>
  <si>
    <t>Patient does not have: hematuria</t>
  </si>
  <si>
    <t>Patient does not have: new sexual partner</t>
  </si>
  <si>
    <t>Patient does not have: aura related to headaches</t>
  </si>
  <si>
    <t>Patient does not have: early morning headaches</t>
  </si>
  <si>
    <t>Patient does not have: fever</t>
  </si>
  <si>
    <t>Patient does not have: postional changes in headache</t>
  </si>
  <si>
    <t>Patient has: been told has high blood pressure (10 years ago)</t>
  </si>
  <si>
    <t>Patient does not have: current medications for blood pressure</t>
  </si>
  <si>
    <t>Patient has: been told he has heart disease (10 years ago)</t>
  </si>
  <si>
    <t>Patient has: had stress test years ago but no follow up</t>
  </si>
  <si>
    <t>Patient does not have: history of MI</t>
  </si>
  <si>
    <t>Patient does not have: surgical history</t>
  </si>
  <si>
    <t>Patient has: father died from MI at 50 (early CAD)</t>
  </si>
  <si>
    <t>Patient has: mother with HTN and HLD</t>
  </si>
  <si>
    <t>Patient has: wife with some marriage stress</t>
  </si>
  <si>
    <t>Patient has: former smoker (30 pack year smoking history, quit 5 years ago)</t>
  </si>
  <si>
    <t>Patient has: 3 beers every day</t>
  </si>
  <si>
    <t>Patient has: increased alcohol intake due to work stress</t>
  </si>
  <si>
    <t>Patient has: diet high in fats and carbs</t>
  </si>
  <si>
    <t>Patient does not have: regular exercise</t>
  </si>
  <si>
    <t>Patient has: high stress at work</t>
  </si>
  <si>
    <t>Patient has: one sexual partner for 25 years</t>
  </si>
  <si>
    <t>Patient does not have: history of STIs</t>
  </si>
  <si>
    <t>Patient has: diminished sensation in toes to ankles bilaterally</t>
  </si>
  <si>
    <t>Patient does not have: changes in skin on feet</t>
  </si>
  <si>
    <t>Patient does not have: diminshed pulse in feet</t>
  </si>
  <si>
    <t>Patient has: normal reflexes</t>
  </si>
  <si>
    <t>Patient has: intact propriosception</t>
  </si>
  <si>
    <t>Patient has: diminished vibration sensation at toes</t>
  </si>
  <si>
    <t>Patient has: normal vibration sensation at ankles</t>
  </si>
  <si>
    <t>Patient has: normal cardiopulmonary exams</t>
  </si>
  <si>
    <t xml:space="preserve">Patient has: elevated BP on exam </t>
  </si>
  <si>
    <t>Patient does not have: noctural tumescence</t>
  </si>
  <si>
    <t>Patient does not have: loss of libido</t>
  </si>
  <si>
    <t>Patient does not have: loss of muscle strength</t>
  </si>
  <si>
    <t>Patient does not have: prior TURP</t>
  </si>
  <si>
    <t>Patient does not have: prior radiation</t>
  </si>
  <si>
    <t>Patient does not have: prior prostate biopsy or procedure</t>
  </si>
  <si>
    <t>Vasculogenic</t>
  </si>
  <si>
    <t>Neurogenic</t>
  </si>
  <si>
    <t>Psychogenic</t>
  </si>
  <si>
    <t>Alcohol-Related</t>
  </si>
  <si>
    <t>Hormonal</t>
  </si>
  <si>
    <t>Gradual onset, progressive ED</t>
  </si>
  <si>
    <t>✓</t>
  </si>
  <si>
    <t>X</t>
  </si>
  <si>
    <t>Age 50–70 (risk factor)</t>
  </si>
  <si>
    <t>Cardiovascular risk factors</t>
  </si>
  <si>
    <t>Claudication</t>
  </si>
  <si>
    <t>Polyuria &amp; Polydipsia</t>
  </si>
  <si>
    <t>✓*</t>
  </si>
  <si>
    <t>Paresthesias in feet</t>
  </si>
  <si>
    <t>Improvement with PDE5 inhibitor</t>
  </si>
  <si>
    <t>Stress as aggravating factor</t>
  </si>
  <si>
    <t>Alcohol use</t>
  </si>
  <si>
    <t>✓ (indirect)</t>
  </si>
  <si>
    <t>Hypogonadism</t>
  </si>
  <si>
    <t>Thyroid Dysfunction</t>
  </si>
  <si>
    <t>Key features</t>
  </si>
  <si>
    <t xml:space="preserve">Iatrogenic Neurologic Damage (e.g. Procedural, Radiation)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</si>
</sst>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857F-01A9-4F75-9069-30A338F93B74}">
  <dimension ref="A1:I89"/>
  <sheetViews>
    <sheetView tabSelected="1" workbookViewId="0">
      <selection activeCell="K12" sqref="K12"/>
    </sheetView>
  </sheetViews>
  <sheetFormatPr defaultRowHeight="15" x14ac:dyDescent="0.25"/>
  <cols>
    <col min="1" max="1" width="59.28515625" customWidth="1"/>
    <col min="2" max="2" width="14.5703125" customWidth="1"/>
    <col min="3" max="3" width="15" customWidth="1"/>
    <col min="4" max="4" width="14.7109375" customWidth="1"/>
    <col min="5" max="6" width="17.7109375" customWidth="1"/>
    <col min="7" max="7" width="28" customWidth="1"/>
    <col min="8" max="8" width="21.5703125" customWidth="1"/>
  </cols>
  <sheetData>
    <row r="1" spans="1:9" ht="75.75" customHeight="1" x14ac:dyDescent="0.25">
      <c r="B1" s="4" t="s">
        <v>0</v>
      </c>
      <c r="C1" s="4" t="s">
        <v>108</v>
      </c>
      <c r="D1" s="4" t="s">
        <v>109</v>
      </c>
      <c r="E1" s="4" t="s">
        <v>1</v>
      </c>
      <c r="F1" s="4" t="s">
        <v>2</v>
      </c>
      <c r="G1" s="4" t="s">
        <v>111</v>
      </c>
      <c r="H1" s="4" t="s">
        <v>3</v>
      </c>
    </row>
    <row r="2" spans="1:9" x14ac:dyDescent="0.25">
      <c r="B2" s="5">
        <v>0.2</v>
      </c>
      <c r="C2" s="5">
        <v>0.1</v>
      </c>
      <c r="D2" s="5">
        <v>0.01</v>
      </c>
      <c r="E2" s="5">
        <v>0.23</v>
      </c>
      <c r="F2" s="5">
        <v>0.2</v>
      </c>
      <c r="G2" s="5">
        <v>5.0000000000000001E-3</v>
      </c>
      <c r="H2" s="5">
        <v>0.25</v>
      </c>
      <c r="I2" s="5">
        <f>SUM(B2:H2)</f>
        <v>0.995</v>
      </c>
    </row>
    <row r="3" spans="1:9" s="3" customFormat="1" x14ac:dyDescent="0.25">
      <c r="A3" s="3" t="s">
        <v>110</v>
      </c>
    </row>
    <row r="4" spans="1:9" x14ac:dyDescent="0.25">
      <c r="A4" t="s">
        <v>4</v>
      </c>
    </row>
    <row r="5" spans="1:9" x14ac:dyDescent="0.25">
      <c r="A5" t="s">
        <v>5</v>
      </c>
    </row>
    <row r="6" spans="1:9" x14ac:dyDescent="0.25">
      <c r="A6" t="s">
        <v>6</v>
      </c>
    </row>
    <row r="7" spans="1:9" x14ac:dyDescent="0.25">
      <c r="A7" t="s">
        <v>7</v>
      </c>
    </row>
    <row r="8" spans="1:9" x14ac:dyDescent="0.25">
      <c r="A8" t="s">
        <v>8</v>
      </c>
    </row>
    <row r="9" spans="1:9" x14ac:dyDescent="0.25">
      <c r="A9" t="s">
        <v>9</v>
      </c>
    </row>
    <row r="10" spans="1:9" x14ac:dyDescent="0.25">
      <c r="A10" t="s">
        <v>10</v>
      </c>
    </row>
    <row r="11" spans="1:9" x14ac:dyDescent="0.25">
      <c r="A11" t="s">
        <v>11</v>
      </c>
    </row>
    <row r="12" spans="1:9" x14ac:dyDescent="0.25">
      <c r="A12" t="s">
        <v>12</v>
      </c>
    </row>
    <row r="13" spans="1:9" x14ac:dyDescent="0.25">
      <c r="A13" t="s">
        <v>13</v>
      </c>
    </row>
    <row r="14" spans="1:9" x14ac:dyDescent="0.25">
      <c r="A14" t="s">
        <v>14</v>
      </c>
    </row>
    <row r="15" spans="1:9" x14ac:dyDescent="0.25">
      <c r="A15" t="s">
        <v>15</v>
      </c>
    </row>
    <row r="16" spans="1:9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4337-FF85-43DA-AA90-3E530CAEEC37}">
  <dimension ref="A1:G10"/>
  <sheetViews>
    <sheetView workbookViewId="0">
      <selection activeCell="J6" sqref="J6"/>
    </sheetView>
  </sheetViews>
  <sheetFormatPr defaultRowHeight="15" x14ac:dyDescent="0.25"/>
  <cols>
    <col min="1" max="1" width="19.42578125" customWidth="1"/>
    <col min="2" max="2" width="15.7109375" customWidth="1"/>
    <col min="3" max="3" width="15.140625" customWidth="1"/>
    <col min="4" max="4" width="15.28515625" customWidth="1"/>
    <col min="5" max="5" width="13.140625" customWidth="1"/>
    <col min="6" max="6" width="14.7109375" customWidth="1"/>
    <col min="7" max="7" width="19.28515625" customWidth="1"/>
    <col min="8" max="8" width="18.140625" customWidth="1"/>
  </cols>
  <sheetData>
    <row r="1" spans="1:7" ht="42" customHeight="1" x14ac:dyDescent="0.25">
      <c r="A1" s="1"/>
      <c r="B1" s="2" t="s">
        <v>90</v>
      </c>
      <c r="C1" s="2" t="s">
        <v>91</v>
      </c>
      <c r="D1" s="2" t="s">
        <v>0</v>
      </c>
      <c r="E1" s="2" t="s">
        <v>92</v>
      </c>
      <c r="F1" s="2" t="s">
        <v>93</v>
      </c>
      <c r="G1" s="2" t="s">
        <v>94</v>
      </c>
    </row>
    <row r="2" spans="1:7" ht="30" x14ac:dyDescent="0.25">
      <c r="A2" s="2" t="s">
        <v>95</v>
      </c>
      <c r="B2" s="1" t="s">
        <v>96</v>
      </c>
      <c r="C2" s="1" t="s">
        <v>96</v>
      </c>
      <c r="D2" s="1" t="s">
        <v>96</v>
      </c>
      <c r="E2" s="1" t="s">
        <v>97</v>
      </c>
      <c r="F2" s="1" t="s">
        <v>96</v>
      </c>
      <c r="G2" s="1" t="s">
        <v>96</v>
      </c>
    </row>
    <row r="3" spans="1:7" ht="30" x14ac:dyDescent="0.25">
      <c r="A3" s="2" t="s">
        <v>98</v>
      </c>
      <c r="B3" s="1" t="s">
        <v>96</v>
      </c>
      <c r="C3" s="1" t="s">
        <v>96</v>
      </c>
      <c r="D3" s="1" t="s">
        <v>96</v>
      </c>
      <c r="E3" s="1" t="s">
        <v>97</v>
      </c>
      <c r="F3" s="1" t="s">
        <v>96</v>
      </c>
      <c r="G3" s="1" t="s">
        <v>96</v>
      </c>
    </row>
    <row r="4" spans="1:7" ht="30" x14ac:dyDescent="0.25">
      <c r="A4" s="2" t="s">
        <v>99</v>
      </c>
      <c r="B4" s="1" t="s">
        <v>96</v>
      </c>
      <c r="C4" s="1" t="s">
        <v>97</v>
      </c>
      <c r="D4" s="1" t="s">
        <v>96</v>
      </c>
      <c r="E4" s="1" t="s">
        <v>97</v>
      </c>
      <c r="F4" s="1" t="s">
        <v>96</v>
      </c>
      <c r="G4" s="1" t="s">
        <v>97</v>
      </c>
    </row>
    <row r="5" spans="1:7" x14ac:dyDescent="0.25">
      <c r="A5" s="2" t="s">
        <v>100</v>
      </c>
      <c r="B5" s="1" t="s">
        <v>96</v>
      </c>
      <c r="C5" s="1" t="s">
        <v>97</v>
      </c>
      <c r="D5" s="1" t="s">
        <v>96</v>
      </c>
      <c r="E5" s="1" t="s">
        <v>97</v>
      </c>
      <c r="F5" s="1" t="s">
        <v>97</v>
      </c>
      <c r="G5" s="1" t="s">
        <v>97</v>
      </c>
    </row>
    <row r="6" spans="1:7" ht="30" x14ac:dyDescent="0.25">
      <c r="A6" s="2" t="s">
        <v>101</v>
      </c>
      <c r="B6" s="1" t="s">
        <v>97</v>
      </c>
      <c r="C6" s="1" t="s">
        <v>102</v>
      </c>
      <c r="D6" s="1" t="s">
        <v>96</v>
      </c>
      <c r="E6" s="1" t="s">
        <v>97</v>
      </c>
      <c r="F6" s="1" t="s">
        <v>97</v>
      </c>
      <c r="G6" s="1" t="s">
        <v>97</v>
      </c>
    </row>
    <row r="7" spans="1:7" x14ac:dyDescent="0.25">
      <c r="A7" s="2" t="s">
        <v>103</v>
      </c>
      <c r="B7" s="1" t="s">
        <v>97</v>
      </c>
      <c r="C7" s="1" t="s">
        <v>96</v>
      </c>
      <c r="D7" s="1" t="s">
        <v>96</v>
      </c>
      <c r="E7" s="1" t="s">
        <v>97</v>
      </c>
      <c r="F7" s="1" t="s">
        <v>97</v>
      </c>
      <c r="G7" s="1" t="s">
        <v>97</v>
      </c>
    </row>
    <row r="8" spans="1:7" ht="30" x14ac:dyDescent="0.25">
      <c r="A8" s="2" t="s">
        <v>104</v>
      </c>
      <c r="B8" s="1" t="s">
        <v>96</v>
      </c>
      <c r="C8" s="1" t="s">
        <v>96</v>
      </c>
      <c r="D8" s="1" t="s">
        <v>96</v>
      </c>
      <c r="E8" s="1" t="s">
        <v>97</v>
      </c>
      <c r="F8" s="1" t="s">
        <v>96</v>
      </c>
      <c r="G8" s="1" t="s">
        <v>96</v>
      </c>
    </row>
    <row r="9" spans="1:7" ht="30" x14ac:dyDescent="0.25">
      <c r="A9" s="2" t="s">
        <v>105</v>
      </c>
      <c r="B9" s="1" t="s">
        <v>97</v>
      </c>
      <c r="C9" s="1" t="s">
        <v>97</v>
      </c>
      <c r="D9" s="1" t="s">
        <v>97</v>
      </c>
      <c r="E9" s="1" t="s">
        <v>96</v>
      </c>
      <c r="F9" s="1" t="s">
        <v>96</v>
      </c>
      <c r="G9" s="1" t="s">
        <v>97</v>
      </c>
    </row>
    <row r="10" spans="1:7" x14ac:dyDescent="0.25">
      <c r="A10" s="2" t="s">
        <v>106</v>
      </c>
      <c r="B10" s="1" t="s">
        <v>107</v>
      </c>
      <c r="C10" s="1" t="s">
        <v>97</v>
      </c>
      <c r="D10" s="1" t="s">
        <v>97</v>
      </c>
      <c r="E10" s="1" t="s">
        <v>96</v>
      </c>
      <c r="F10" s="1" t="s">
        <v>96</v>
      </c>
      <c r="G10" s="1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91bfee-3821-4267-8a0b-0965070efae2">
      <Terms xmlns="http://schemas.microsoft.com/office/infopath/2007/PartnerControls"/>
    </lcf76f155ced4ddcb4097134ff3c332f>
    <TaxCatchAll xmlns="e58bccec-fd6d-4ccd-8558-bf18fb827d2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1A99DD1166D44BBD210E96E418F6AB" ma:contentTypeVersion="13" ma:contentTypeDescription="Create a new document." ma:contentTypeScope="" ma:versionID="b435ba21574b32689f4b1e4fa50d3047">
  <xsd:schema xmlns:xsd="http://www.w3.org/2001/XMLSchema" xmlns:xs="http://www.w3.org/2001/XMLSchema" xmlns:p="http://schemas.microsoft.com/office/2006/metadata/properties" xmlns:ns2="0191bfee-3821-4267-8a0b-0965070efae2" xmlns:ns3="e58bccec-fd6d-4ccd-8558-bf18fb827d2e" targetNamespace="http://schemas.microsoft.com/office/2006/metadata/properties" ma:root="true" ma:fieldsID="485e8f3b25df01f92f4fc29db1bb42ec" ns2:_="" ns3:_="">
    <xsd:import namespace="0191bfee-3821-4267-8a0b-0965070efae2"/>
    <xsd:import namespace="e58bccec-fd6d-4ccd-8558-bf18fb827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1bfee-3821-4267-8a0b-0965070efa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1d4a69-9812-4340-96bf-3c60240190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8bccec-fd6d-4ccd-8558-bf18fb827d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bb4692-ec23-4cbe-ab6a-d6250ec5b075}" ma:internalName="TaxCatchAll" ma:showField="CatchAllData" ma:web="e58bccec-fd6d-4ccd-8558-bf18fb827d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4C703D-7BDE-47A3-B2D0-CBAFDA8903CC}">
  <ds:schemaRefs>
    <ds:schemaRef ds:uri="http://purl.org/dc/elements/1.1/"/>
    <ds:schemaRef ds:uri="7b7c2263-26f2-451a-87b8-9f9725d9c1a4"/>
    <ds:schemaRef ds:uri="ec7db1a7-8c59-4305-970d-72e7063603a4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3FF3265-5784-4303-84C3-4A9D01F78AD9}"/>
</file>

<file path=customXml/itemProps3.xml><?xml version="1.0" encoding="utf-8"?>
<ds:datastoreItem xmlns:ds="http://schemas.openxmlformats.org/officeDocument/2006/customXml" ds:itemID="{8E581E1A-F004-40ED-BD0B-CE640FF881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 1</vt:lpstr>
      <vt:lpstr>Overlapping features</vt:lpstr>
    </vt:vector>
  </TitlesOfParts>
  <Manager/>
  <Company>University of Kentucky HealthCare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Vick, Sarah E.</dc:creator>
  <cp:keywords/>
  <dc:description/>
  <cp:lastModifiedBy>Rohlfsen, Cory J</cp:lastModifiedBy>
  <cp:revision/>
  <dcterms:created xsi:type="dcterms:W3CDTF">2025-11-20T14:46:49Z</dcterms:created>
  <dcterms:modified xsi:type="dcterms:W3CDTF">2026-02-22T18:20:36Z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0x010100861A99DD1166D44BBD210E96E418F6AB</vt:lpwstr>
  </property>
</Properties>
</file>